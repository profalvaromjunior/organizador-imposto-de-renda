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" sheetId="1" state="visible" r:id="rId3"/>
    <sheet name="TITULAR" sheetId="2" state="visible" r:id="rId4"/>
    <sheet name="INFORMES" sheetId="3" state="visible" r:id="rId5"/>
    <sheet name="NOTAS" sheetId="4" state="visible" r:id="rId6"/>
    <sheet name="DEDUCOES" sheetId="5" state="visible" r:id="rId7"/>
    <sheet name="RESUMO" sheetId="6" state="visible" r:id="rId8"/>
    <sheet name="TABELAS" sheetId="7" state="hidden" r:id="rId9"/>
  </sheets>
  <definedNames>
    <definedName function="false" hidden="false" name="cpf_titular" vbProcedure="false">TITULAR!$D$8</definedName>
    <definedName function="false" hidden="false" name="lista_bancos" vbProcedure="false">TABELAS!$A$2:$A$51</definedName>
    <definedName function="false" hidden="false" name="lista_beneficiario" vbProcedure="false">TABELAS!$E$2:$E$4</definedName>
    <definedName function="false" hidden="false" name="lista_categorias" vbProcedure="false">TABELAS!$C$2:$C$8</definedName>
    <definedName function="false" hidden="false" name="lista_deducoes" vbProcedure="false">TABELAS!$D$2:$D$7</definedName>
    <definedName function="false" hidden="false" name="lista_sim_nao" vbProcedure="false">TABELAS!$F$2:$F$3</definedName>
    <definedName function="false" hidden="false" name="lista_tipo_conta" vbProcedure="false">TABELAS!$B$2:$B$6</definedName>
    <definedName function="false" hidden="false" name="lista_uf" vbProcedure="false">TABELAS!$G$2:$G$28</definedName>
    <definedName function="false" hidden="false" name="nome_titular" vbProcedure="false">TITULAR!$D$7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0" authorId="0">
      <text>
        <r>
          <rPr>
            <sz val="10"/>
            <rFont val="Arial"/>
            <family val="2"/>
          </rPr>
          <t xml:space="preserve">Use um e-mail de exemplo no arquivo publicado. O link "Enviar e-mail" usa este endereço.</t>
        </r>
      </text>
    </comment>
  </commentList>
</comments>
</file>

<file path=xl/sharedStrings.xml><?xml version="1.0" encoding="utf-8"?>
<sst xmlns="http://schemas.openxmlformats.org/spreadsheetml/2006/main" count="325" uniqueCount="234">
  <si>
    <t xml:space="preserve">🧾  ORGANIZADOR DO IMPOSTO DE RENDA</t>
  </si>
  <si>
    <t xml:space="preserve">Reúna em um só lugar tudo o que você precisa para a declaração do IRPF</t>
  </si>
  <si>
    <t xml:space="preserve">Comece por aqui:</t>
  </si>
  <si>
    <t xml:space="preserve">👤  1. DADOS DO TITULAR</t>
  </si>
  <si>
    <t xml:space="preserve">🏦  2. INFORMES BANCÁRIOS</t>
  </si>
  <si>
    <t xml:space="preserve">Nome, CPF, endereço e contatos</t>
  </si>
  <si>
    <t xml:space="preserve">Saldos e rendimentos por banco</t>
  </si>
  <si>
    <t xml:space="preserve">💰  3. ENTRADAS DO ANO</t>
  </si>
  <si>
    <t xml:space="preserve">🩺  4. DESPESAS DEDUTÍVEIS</t>
  </si>
  <si>
    <t xml:space="preserve">Holerites, freelas e outras receitas</t>
  </si>
  <si>
    <t xml:space="preserve">Saúde, educação, previdência...</t>
  </si>
  <si>
    <t xml:space="preserve">📊  5. RESUMO E PENDÊNCIAS</t>
  </si>
  <si>
    <t xml:space="preserve">Totais, gráfico e checklist</t>
  </si>
  <si>
    <t xml:space="preserve">🔗  LINKS RÁPIDOS (Receita Federal)</t>
  </si>
  <si>
    <t xml:space="preserve">▸ Meu Imposto de Renda (página oficial)</t>
  </si>
  <si>
    <t xml:space="preserve">▸ Fazer a declaração</t>
  </si>
  <si>
    <t xml:space="preserve">▸ Baixar o programa da declaração (PGD)</t>
  </si>
  <si>
    <t xml:space="preserve">▸ Orientações de preenchimento</t>
  </si>
  <si>
    <t xml:space="preserve">▸ Consultar restituição</t>
  </si>
  <si>
    <t xml:space="preserve">Os valores já preenchidos são fictícios, só de exemplo. Apague e coloque os seus.</t>
  </si>
  <si>
    <t xml:space="preserve">Preencha os dados da pessoa física que vai declarar</t>
  </si>
  <si>
    <t xml:space="preserve">◀  VOLTAR AO MENU</t>
  </si>
  <si>
    <t xml:space="preserve">Você preenche</t>
  </si>
  <si>
    <t xml:space="preserve">Calculado</t>
  </si>
  <si>
    <t xml:space="preserve">NOME COMPLETO</t>
  </si>
  <si>
    <t xml:space="preserve">MARIA EXEMPLO DA SILVA</t>
  </si>
  <si>
    <t xml:space="preserve">CPF (só números)</t>
  </si>
  <si>
    <t xml:space="preserve">← fica 123.456.789-09</t>
  </si>
  <si>
    <t xml:space="preserve">DATA DE NASCIMENTO</t>
  </si>
  <si>
    <t xml:space="preserve">TÍTULO DE ELEITOR</t>
  </si>
  <si>
    <t xml:space="preserve">OCUPAÇÃO</t>
  </si>
  <si>
    <t xml:space="preserve">Professora</t>
  </si>
  <si>
    <t xml:space="preserve">CÔNJUGE</t>
  </si>
  <si>
    <t xml:space="preserve">JOÃO EXEMPLO DA SILVA</t>
  </si>
  <si>
    <t xml:space="preserve">ENDEREÇO (rua e número)</t>
  </si>
  <si>
    <t xml:space="preserve">Rua das Palmeiras, 123</t>
  </si>
  <si>
    <t xml:space="preserve">CIDADE</t>
  </si>
  <si>
    <t xml:space="preserve">São Paulo</t>
  </si>
  <si>
    <t xml:space="preserve">UF</t>
  </si>
  <si>
    <t xml:space="preserve">SP</t>
  </si>
  <si>
    <t xml:space="preserve">CEP (só números)</t>
  </si>
  <si>
    <t xml:space="preserve">TELEFONE (DDD + número)</t>
  </si>
  <si>
    <t xml:space="preserve">CELULAR (DDD + número)</t>
  </si>
  <si>
    <t xml:space="preserve">E-MAIL</t>
  </si>
  <si>
    <t xml:space="preserve">maria.exemplo@email.com</t>
  </si>
  <si>
    <t xml:space="preserve">HOUVE ALTERAÇÃO DESDE A ÚLTIMA ENTREGA?</t>
  </si>
  <si>
    <t xml:space="preserve">NÃO</t>
  </si>
  <si>
    <t xml:space="preserve">CÔNJUGE É DEPENDENTE?</t>
  </si>
  <si>
    <t xml:space="preserve">RESIDENTE NO EXTERIOR?</t>
  </si>
  <si>
    <t xml:space="preserve">CALCULADOS AUTOMATICAMENTE</t>
  </si>
  <si>
    <t xml:space="preserve">IDADE</t>
  </si>
  <si>
    <t xml:space="preserve">ENDEREÇO ABREVIADO</t>
  </si>
  <si>
    <t xml:space="preserve">CPF FORMATADO (texto)</t>
  </si>
  <si>
    <t xml:space="preserve">ENVIAR E-MAIL AO CONTADOR</t>
  </si>
  <si>
    <t xml:space="preserve">🏦  2. INFORMES DE RENDIMENTOS BANCÁRIOS</t>
  </si>
  <si>
    <t xml:space="preserve">Um banco por linha: saldos em 31/12 e rendimentos do ano, conforme o informe de cada instituição</t>
  </si>
  <si>
    <t xml:space="preserve">Nº</t>
  </si>
  <si>
    <t xml:space="preserve">BANCO</t>
  </si>
  <si>
    <t xml:space="preserve">TIPO DE CONTA</t>
  </si>
  <si>
    <t xml:space="preserve">SALDO 31/12 ANO ANTERIOR</t>
  </si>
  <si>
    <t xml:space="preserve">SALDO 31/12 ANO-BASE</t>
  </si>
  <si>
    <t xml:space="preserve">RENDIMENTOS NO ANO</t>
  </si>
  <si>
    <t xml:space="preserve">INFORME RECEBIDO?</t>
  </si>
  <si>
    <t xml:space="preserve">ARQUIVO DO INFORME</t>
  </si>
  <si>
    <t xml:space="preserve">260 - Nubank</t>
  </si>
  <si>
    <t xml:space="preserve">Conta corrente</t>
  </si>
  <si>
    <t xml:space="preserve">SIM</t>
  </si>
  <si>
    <t xml:space="preserve">informe_nubank.pdf</t>
  </si>
  <si>
    <t xml:space="preserve">Investimentos (renda fixa)</t>
  </si>
  <si>
    <t xml:space="preserve">104 - Caixa Econômica Federal</t>
  </si>
  <si>
    <t xml:space="preserve">Poupança</t>
  </si>
  <si>
    <t xml:space="preserve">77 - Banco Inter</t>
  </si>
  <si>
    <t xml:space="preserve">informe_inter.pdf</t>
  </si>
  <si>
    <t xml:space="preserve">TOTAL</t>
  </si>
  <si>
    <t xml:space="preserve">Informe pendente aparece em vermelho. O nome do arquivo ajuda a achar o PDF na hora de declarar.</t>
  </si>
  <si>
    <t xml:space="preserve">💰  3. ENTRADAS DO ANO (HOLERITES E OUTRAS RECEITAS)</t>
  </si>
  <si>
    <t xml:space="preserve">Lance cada entrada mês a mês. O mês e o total são calculados sozinhos</t>
  </si>
  <si>
    <t xml:space="preserve">DATA</t>
  </si>
  <si>
    <t xml:space="preserve">MÊS</t>
  </si>
  <si>
    <t xml:space="preserve">CATEGORIA</t>
  </si>
  <si>
    <t xml:space="preserve">FONTE PAGADORA</t>
  </si>
  <si>
    <t xml:space="preserve">CNPJ/CPF DA FONTE</t>
  </si>
  <si>
    <t xml:space="preserve">VALOR BRUTO</t>
  </si>
  <si>
    <t xml:space="preserve">IR RETIDO NA FONTE</t>
  </si>
  <si>
    <t xml:space="preserve">OBSERVAÇÃO</t>
  </si>
  <si>
    <t xml:space="preserve">HOLERITE</t>
  </si>
  <si>
    <t xml:space="preserve">Escola Exemplo Ltda</t>
  </si>
  <si>
    <t xml:space="preserve">00.000.000/0001-00</t>
  </si>
  <si>
    <t xml:space="preserve">FREELANCE</t>
  </si>
  <si>
    <t xml:space="preserve">Cliente Exemplo</t>
  </si>
  <si>
    <t xml:space="preserve">000.000.000-00</t>
  </si>
  <si>
    <t xml:space="preserve">Curso de Excel</t>
  </si>
  <si>
    <t xml:space="preserve">Reajuste</t>
  </si>
  <si>
    <t xml:space="preserve">ALUGUEL</t>
  </si>
  <si>
    <t xml:space="preserve">Inquilino Exemplo</t>
  </si>
  <si>
    <t xml:space="preserve">Apto 12</t>
  </si>
  <si>
    <t xml:space="preserve">Guarde aqui cada despesa que pode ser deduzida e o comprovante correspondente</t>
  </si>
  <si>
    <t xml:space="preserve">TIPO DE DEDUÇÃO</t>
  </si>
  <si>
    <t xml:space="preserve">BENEFICIÁRIO</t>
  </si>
  <si>
    <t xml:space="preserve">PRESTADOR / INSTITUIÇÃO</t>
  </si>
  <si>
    <t xml:space="preserve">CNPJ/CPF DO PRESTADOR</t>
  </si>
  <si>
    <t xml:space="preserve">VALOR PAGO</t>
  </si>
  <si>
    <t xml:space="preserve">TEM COMPROVANTE?</t>
  </si>
  <si>
    <t xml:space="preserve">ARQUIVO DO COMPROVANTE</t>
  </si>
  <si>
    <t xml:space="preserve">SAÚDE</t>
  </si>
  <si>
    <t xml:space="preserve">Titular</t>
  </si>
  <si>
    <t xml:space="preserve">Clínica Exemplo</t>
  </si>
  <si>
    <t xml:space="preserve">recibo_clinica_fev.pdf</t>
  </si>
  <si>
    <t xml:space="preserve">EDUCAÇÃO</t>
  </si>
  <si>
    <t xml:space="preserve">Dependente</t>
  </si>
  <si>
    <t xml:space="preserve">Colégio Exemplo</t>
  </si>
  <si>
    <t xml:space="preserve">mensalidade_mar.pdf</t>
  </si>
  <si>
    <t xml:space="preserve">Dentista Exemplo</t>
  </si>
  <si>
    <t xml:space="preserve">PREVIDÊNCIA PRIVADA (PGBL)</t>
  </si>
  <si>
    <t xml:space="preserve">Seguradora Exemplo</t>
  </si>
  <si>
    <t xml:space="preserve">pgbl_2025.pdf</t>
  </si>
  <si>
    <t xml:space="preserve">Os limites de dedução mudam a cada ano: confira as regras atuais nas orientações da Receita Federal (link no MENU).</t>
  </si>
  <si>
    <t xml:space="preserve">Tudo calculado a partir das outras abas. Nada para preencher aqui</t>
  </si>
  <si>
    <t xml:space="preserve">TITULAR</t>
  </si>
  <si>
    <t xml:space="preserve">Nome</t>
  </si>
  <si>
    <t xml:space="preserve">CPF</t>
  </si>
  <si>
    <t xml:space="preserve">ENTRADAS POR CATEGORIA</t>
  </si>
  <si>
    <t xml:space="preserve">TOTAL NO ANO</t>
  </si>
  <si>
    <t xml:space="preserve">BANCOS</t>
  </si>
  <si>
    <t xml:space="preserve">Saldo total 31/12 ano anterior</t>
  </si>
  <si>
    <t xml:space="preserve">PRÓ-LABORE / CNPJ</t>
  </si>
  <si>
    <t xml:space="preserve">Saldo total 31/12 ano-base</t>
  </si>
  <si>
    <t xml:space="preserve">Rendimentos no ano</t>
  </si>
  <si>
    <t xml:space="preserve">Contas cadastradas</t>
  </si>
  <si>
    <t xml:space="preserve">13º SALÁRIO</t>
  </si>
  <si>
    <t xml:space="preserve">DEDUÇÕES POR TIPO</t>
  </si>
  <si>
    <t xml:space="preserve">FÉRIAS</t>
  </si>
  <si>
    <t xml:space="preserve">TIPO</t>
  </si>
  <si>
    <t xml:space="preserve">OUTROS</t>
  </si>
  <si>
    <t xml:space="preserve">TOTAL DE ENTRADAS</t>
  </si>
  <si>
    <t xml:space="preserve">PENSÃO ALIMENTÍCIA</t>
  </si>
  <si>
    <t xml:space="preserve">✅  CHECKLIST DE PENDÊNCIAS</t>
  </si>
  <si>
    <t xml:space="preserve">INSS AUTÔNOMO</t>
  </si>
  <si>
    <t xml:space="preserve">Dados do titular incompletos</t>
  </si>
  <si>
    <t xml:space="preserve">OUTRAS</t>
  </si>
  <si>
    <t xml:space="preserve">Informes bancários não recebidos</t>
  </si>
  <si>
    <t xml:space="preserve">TOTAL DE DEDUÇÕES</t>
  </si>
  <si>
    <t xml:space="preserve">Despesas sem comprovante</t>
  </si>
  <si>
    <t xml:space="preserve">ENTRADAS POR MÊS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</si>
  <si>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</si>
  <si>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</si>
  <si>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</si>
  <si>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</si>
  <si>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</si>
  <si>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</si>
  <si>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</si>
  <si>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</si>
  <si>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</si>
  <si>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</si>
  <si>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</si>
  <si>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</si>
  <si>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CATEGORIA DE ENTRADA</t>
  </si>
  <si>
    <t xml:space="preserve">SIM/NÃO</t>
  </si>
  <si>
    <t xml:space="preserve">1 - Banco do Brasil</t>
  </si>
  <si>
    <t xml:space="preserve">AC</t>
  </si>
  <si>
    <t xml:space="preserve">102 - XP Investimentos CCTVM S.A.</t>
  </si>
  <si>
    <t xml:space="preserve">AL</t>
  </si>
  <si>
    <t xml:space="preserve">Cônjuge</t>
  </si>
  <si>
    <t xml:space="preserve">AP</t>
  </si>
  <si>
    <t xml:space="preserve">119 - Banco Western Union do Brasil</t>
  </si>
  <si>
    <t xml:space="preserve">Investimentos (renda variável)</t>
  </si>
  <si>
    <t xml:space="preserve">AM</t>
  </si>
  <si>
    <t xml:space="preserve">184 - Banco Itaú BBA S.A.</t>
  </si>
  <si>
    <t xml:space="preserve">Previdência privada</t>
  </si>
  <si>
    <t xml:space="preserve">BA</t>
  </si>
  <si>
    <t xml:space="preserve">197 - Stone Pagamentos</t>
  </si>
  <si>
    <t xml:space="preserve">CE</t>
  </si>
  <si>
    <t xml:space="preserve">208 - Banco BTG Pactual</t>
  </si>
  <si>
    <t xml:space="preserve">DF</t>
  </si>
  <si>
    <t xml:space="preserve">212 - Banco Original</t>
  </si>
  <si>
    <t xml:space="preserve">ES</t>
  </si>
  <si>
    <t xml:space="preserve">218 - Banco Bonsucesso</t>
  </si>
  <si>
    <t xml:space="preserve">GO</t>
  </si>
  <si>
    <t xml:space="preserve">229 - Banco Cruzeiro do Sul</t>
  </si>
  <si>
    <t xml:space="preserve">MA</t>
  </si>
  <si>
    <t xml:space="preserve">237 - Banco Bradesco</t>
  </si>
  <si>
    <t xml:space="preserve">MT</t>
  </si>
  <si>
    <t xml:space="preserve">24 - Banco de Pernambuco</t>
  </si>
  <si>
    <t xml:space="preserve">MS</t>
  </si>
  <si>
    <t xml:space="preserve">241 - Banco Clássico</t>
  </si>
  <si>
    <t xml:space="preserve">MG</t>
  </si>
  <si>
    <t xml:space="preserve">250 - Banco de Crédito e Varejo (BCV)</t>
  </si>
  <si>
    <t xml:space="preserve">PA</t>
  </si>
  <si>
    <t xml:space="preserve">PB</t>
  </si>
  <si>
    <t xml:space="preserve">29 - Banco do Estado do Rio de Janeiro</t>
  </si>
  <si>
    <t xml:space="preserve">PR</t>
  </si>
  <si>
    <t xml:space="preserve">290 - PagBank</t>
  </si>
  <si>
    <t xml:space="preserve">PE</t>
  </si>
  <si>
    <t xml:space="preserve">3 - Banco da Amazônia</t>
  </si>
  <si>
    <t xml:space="preserve">PI</t>
  </si>
  <si>
    <t xml:space="preserve">33 - Banco Santander</t>
  </si>
  <si>
    <t xml:space="preserve">RJ</t>
  </si>
  <si>
    <t xml:space="preserve">336 - C6 Bank</t>
  </si>
  <si>
    <t xml:space="preserve">RN</t>
  </si>
  <si>
    <t xml:space="preserve">341 - Itaú Unibanco</t>
  </si>
  <si>
    <t xml:space="preserve">RS</t>
  </si>
  <si>
    <t xml:space="preserve">37 - Banco do Estado do Pará</t>
  </si>
  <si>
    <t xml:space="preserve">RO</t>
  </si>
  <si>
    <t xml:space="preserve">376 - Banco JPMorgan S.A.</t>
  </si>
  <si>
    <t xml:space="preserve">RR</t>
  </si>
  <si>
    <t xml:space="preserve">380 - PicPay</t>
  </si>
  <si>
    <t xml:space="preserve">SC</t>
  </si>
  <si>
    <t xml:space="preserve">4 - Banco do Nordeste do Brasil</t>
  </si>
  <si>
    <t xml:space="preserve">41 - Banco do Estado do Rio Grande do Sul</t>
  </si>
  <si>
    <t xml:space="preserve">SE</t>
  </si>
  <si>
    <t xml:space="preserve">422 - Banco Safra</t>
  </si>
  <si>
    <t xml:space="preserve">TO</t>
  </si>
  <si>
    <t xml:space="preserve">44 - Banco BVA</t>
  </si>
  <si>
    <t xml:space="preserve">464 - Banco Sumitomo Mitsui Brasileiro</t>
  </si>
  <si>
    <t xml:space="preserve">477 - Citibank</t>
  </si>
  <si>
    <t xml:space="preserve">600 - Banco Luso Brasileiro</t>
  </si>
  <si>
    <t xml:space="preserve">604 - Banco Industrial do Brasil</t>
  </si>
  <si>
    <t xml:space="preserve">610 - Banco VR</t>
  </si>
  <si>
    <t xml:space="preserve">62 - Hipercard Banco Múltiplo</t>
  </si>
  <si>
    <t xml:space="preserve">634 - Banco Triângulo</t>
  </si>
  <si>
    <t xml:space="preserve">65 - Banco Lemon</t>
  </si>
  <si>
    <t xml:space="preserve">654 - Banco AJ Renner</t>
  </si>
  <si>
    <t xml:space="preserve">655 - Banco Votorantim</t>
  </si>
  <si>
    <t xml:space="preserve">66 - Banco Morgan Stanley</t>
  </si>
  <si>
    <t xml:space="preserve">707 - Banco Daycoval</t>
  </si>
  <si>
    <t xml:space="preserve">72 - Banco Rural Mais</t>
  </si>
  <si>
    <t xml:space="preserve">734 - Banco Gerdau</t>
  </si>
  <si>
    <t xml:space="preserve">735 - Banco Neon</t>
  </si>
  <si>
    <t xml:space="preserve">74 - Banco J. Safra</t>
  </si>
  <si>
    <t xml:space="preserve">746 - Banco Modal</t>
  </si>
  <si>
    <t xml:space="preserve">748 - Banco Cooperativo Sicredi S.A.</t>
  </si>
  <si>
    <t xml:space="preserve">749 - Banco Simples</t>
  </si>
  <si>
    <t xml:space="preserve">79 - Banco JBS</t>
  </si>
  <si>
    <t xml:space="preserve">82 - Banco Topázio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</si>
</sst>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@"/>
    <numFmt numFmtId="166" formatCode="000\.000\.000\-00"/>
    <numFmt numFmtId="167" formatCode="dd/mm/yyyy"/>
    <numFmt numFmtId="168" formatCode="0000\ 0000\ 0000"/>
    <numFmt numFmtId="169" formatCode="00000\-000"/>
    <numFmt numFmtId="170" formatCode="\(00&quot;) &quot;0000\-0000"/>
    <numFmt numFmtId="171" formatCode="\(00&quot;) &quot;00000\-0000"/>
    <numFmt numFmtId="172" formatCode="&quot;R$ &quot;#,##0.00"/>
    <numFmt numFmtId="173" formatCode="0"/>
    <numFmt numFmtId="174" formatCode="&quot;R$ &quot;#,##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2"/>
      <color rgb="FF14213D"/>
      <name val="Arial"/>
      <family val="0"/>
      <charset val="1"/>
    </font>
    <font>
      <i val="true"/>
      <sz val="9"/>
      <color rgb="FF595959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u val="single"/>
      <sz val="10"/>
      <color rgb="FF1B998B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4213D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B998B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B998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E8F4F2"/>
        <bgColor rgb="FFE7E6E6"/>
      </patternFill>
    </fill>
    <fill>
      <patternFill patternType="solid">
        <fgColor rgb="FFFFF2CC"/>
        <bgColor rgb="FFE8F4F2"/>
      </patternFill>
    </fill>
    <fill>
      <patternFill patternType="solid">
        <fgColor rgb="FFE7E6E6"/>
        <bgColor rgb="FFE8F4F2"/>
      </patternFill>
    </fill>
    <fill>
      <patternFill patternType="solid">
        <fgColor rgb="FF1B998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E8F4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FF99"/>
      <rgbColor rgb="FF99CCFF"/>
      <rgbColor rgb="FFFF99CC"/>
      <rgbColor rgb="FFCC99FF"/>
      <rgbColor rgb="FFF8CBAD"/>
      <rgbColor rgb="FF4F81BD"/>
      <rgbColor rgb="FF33CCCC"/>
      <rgbColor rgb="FF99CC00"/>
      <rgbColor rgb="FFF4B942"/>
      <rgbColor rgb="FFFF9900"/>
      <rgbColor rgb="FFFF6600"/>
      <rgbColor rgb="FF595959"/>
      <rgbColor rgb="FF969696"/>
      <rgbColor rgb="FF003366"/>
      <rgbColor rgb="FF1B998B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Entradas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RESUMO!C30</c:f>
              <c:strCache>
                <c:ptCount val="1"/>
                <c:pt idx="0">
                  <c:v>VALOR BRUTO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RESUMO!$B$31:$B$42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RESUMO!$C$31:$C$42</c:f>
              <c:numCache>
                <c:formatCode>"R$ "#,##0.00</c:formatCode>
                <c:ptCount val="12"/>
                <c:pt idx="0">
                  <c:v>3500</c:v>
                </c:pt>
                <c:pt idx="1">
                  <c:v>4300</c:v>
                </c:pt>
                <c:pt idx="2">
                  <c:v>3500</c:v>
                </c:pt>
                <c:pt idx="3">
                  <c:v>4850</c:v>
                </c:pt>
                <c:pt idx="4">
                  <c:v>3650</c:v>
                </c:pt>
                <c:pt idx="5">
                  <c:v>3650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69077805"/>
        <c:axId val="17014835"/>
      </c:barChart>
      <c:catAx>
        <c:axId val="690778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14835"/>
        <c:crosses val="autoZero"/>
        <c:auto val="1"/>
        <c:lblAlgn val="ctr"/>
        <c:lblOffset val="100"/>
        <c:noMultiLvlLbl val="0"/>
      </c:catAx>
      <c:valAx>
        <c:axId val="170148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778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28</xdr:row>
      <xdr:rowOff>0</xdr:rowOff>
    </xdr:from>
    <xdr:to>
      <xdr:col>10</xdr:col>
      <xdr:colOff>229320</xdr:colOff>
      <xdr:row>41</xdr:row>
      <xdr:rowOff>32760</xdr:rowOff>
    </xdr:to>
    <xdr:graphicFrame>
      <xdr:nvGraphicFramePr>
        <xdr:cNvPr id="0" name="Chart 1"/>
        <xdr:cNvGraphicFramePr/>
      </xdr:nvGraphicFramePr>
      <xdr:xfrm>
        <a:off x="4933800" y="57913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v.br/receitafederal/pt-br/assuntos/meu-imposto-de-renda" TargetMode="External"/><Relationship Id="rId2" Type="http://schemas.openxmlformats.org/officeDocument/2006/relationships/hyperlink" Target="https://www.gov.br/pt-br/servicos/declarar-meu-imposto-de-renda" TargetMode="External"/><Relationship Id="rId3" Type="http://schemas.openxmlformats.org/officeDocument/2006/relationships/hyperlink" Target="https://www.gov.br/receitafederal/pt-br/centrais-de-conteudo/download/pgd" TargetMode="External"/><Relationship Id="rId4" Type="http://schemas.openxmlformats.org/officeDocument/2006/relationships/hyperlink" Target="https://www.gov.br/receitafederal/pt-br/assuntos/meu-imposto-de-renda/preenchimento" TargetMode="External"/><Relationship Id="rId5" Type="http://schemas.openxmlformats.org/officeDocument/2006/relationships/hyperlink" Target="https://www.gov.br/pt-br/servicos/consultar-restituicao-de-imposto-de-renda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B2:G26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34"/>
    <col collapsed="false" customWidth="true" hidden="false" outlineLevel="0" max="4" min="4" style="0" width="4"/>
    <col collapsed="false" customWidth="true" hidden="false" outlineLevel="0" max="5" min="5" style="0" width="34"/>
    <col collapsed="false" customWidth="true" hidden="false" outlineLevel="0" max="6" min="6" style="0" width="4"/>
    <col collapsed="false" customWidth="true" hidden="false" outlineLevel="0" max="7" min="7" style="0" width="20"/>
  </cols>
  <sheetData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</row>
    <row r="5" customFormat="false" ht="15" hidden="false" customHeight="false" outlineLevel="0" collapsed="false">
      <c r="C5" s="3" t="s">
        <v>2</v>
      </c>
    </row>
    <row r="7" customFormat="false" ht="33.75" hidden="false" customHeight="true" outlineLevel="0" collapsed="false">
      <c r="C7" s="4" t="s">
        <v>3</v>
      </c>
      <c r="E7" s="4" t="s">
        <v>4</v>
      </c>
    </row>
    <row r="8" customFormat="false" ht="15" hidden="false" customHeight="false" outlineLevel="0" collapsed="false">
      <c r="C8" s="5" t="s">
        <v>5</v>
      </c>
      <c r="E8" s="5" t="s">
        <v>6</v>
      </c>
    </row>
    <row r="11" customFormat="false" ht="33.75" hidden="false" customHeight="true" outlineLevel="0" collapsed="false">
      <c r="C11" s="4" t="s">
        <v>7</v>
      </c>
      <c r="E11" s="4" t="s">
        <v>8</v>
      </c>
    </row>
    <row r="12" customFormat="false" ht="15" hidden="false" customHeight="false" outlineLevel="0" collapsed="false">
      <c r="C12" s="5" t="s">
        <v>9</v>
      </c>
      <c r="E12" s="5" t="s">
        <v>10</v>
      </c>
    </row>
    <row r="15" customFormat="false" ht="33.75" hidden="false" customHeight="true" outlineLevel="0" collapsed="false">
      <c r="C15" s="4" t="s">
        <v>11</v>
      </c>
    </row>
    <row r="16" customFormat="false" ht="15" hidden="false" customHeight="false" outlineLevel="0" collapsed="false">
      <c r="C16" s="5" t="s">
        <v>12</v>
      </c>
    </row>
    <row r="19" customFormat="false" ht="15" hidden="false" customHeight="false" outlineLevel="0" collapsed="false">
      <c r="C19" s="3" t="s">
        <v>13</v>
      </c>
    </row>
    <row r="20" customFormat="false" ht="15" hidden="false" customHeight="false" outlineLevel="0" collapsed="false">
      <c r="C20" s="6" t="s">
        <v>14</v>
      </c>
    </row>
    <row r="21" customFormat="false" ht="15" hidden="false" customHeight="false" outlineLevel="0" collapsed="false">
      <c r="C21" s="6" t="s">
        <v>15</v>
      </c>
    </row>
    <row r="22" customFormat="false" ht="15" hidden="false" customHeight="false" outlineLevel="0" collapsed="false">
      <c r="C22" s="6" t="s">
        <v>16</v>
      </c>
    </row>
    <row r="23" customFormat="false" ht="15" hidden="false" customHeight="false" outlineLevel="0" collapsed="false">
      <c r="C23" s="6" t="s">
        <v>17</v>
      </c>
    </row>
    <row r="24" customFormat="false" ht="15" hidden="false" customHeight="false" outlineLevel="0" collapsed="false">
      <c r="C24" s="6" t="s">
        <v>18</v>
      </c>
    </row>
    <row r="26" customFormat="false" ht="15" hidden="false" customHeight="false" outlineLevel="0" collapsed="false">
      <c r="C26" s="7" t="s">
        <v>19</v>
      </c>
    </row>
  </sheetData>
  <mergeCells count="2">
    <mergeCell ref="B2:G2"/>
    <mergeCell ref="B3:G3"/>
  </mergeCells>
  <hyperlinks>
    <hyperlink ref="C7" location="'TITULAR'!A1" display="👤  1. DADOS DO TITULAR"/>
    <hyperlink ref="E7" location="'INFORMES'!A1" display="🏦  2. INFORMES BANCÁRIOS"/>
    <hyperlink ref="C11" location="'NOTAS'!A1" display="💰  3. ENTRADAS DO ANO"/>
    <hyperlink ref="E11" location="'DEDUCOES'!A1" display="🩺  4. DESPESAS DEDUTÍVEIS"/>
    <hyperlink ref="C15" location="'RESUMO'!A1" display="📊  5. RESUMO E PENDÊNCIAS"/>
    <hyperlink ref="C20" r:id="rId1" display="▸ Meu Imposto de Renda (página oficial)"/>
    <hyperlink ref="C21" r:id="rId2" display="▸ Fazer a declaração"/>
    <hyperlink ref="C22" r:id="rId3" display="▸ Baixar o programa da declaração (PGD)"/>
    <hyperlink ref="C23" r:id="rId4" display="▸ Orientações de preenchimento"/>
    <hyperlink ref="C24" r:id="rId5" display="▸ Consultar restituiçã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998B"/>
    <pageSetUpPr fitToPage="true"/>
  </sheetPr>
  <dimension ref="B2:F28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4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18"/>
  </cols>
  <sheetData>
    <row r="2" customFormat="false" ht="31.5" hidden="false" customHeight="true" outlineLevel="0" collapsed="false">
      <c r="B2" s="1" t="s">
        <v>3</v>
      </c>
      <c r="C2" s="1"/>
      <c r="D2" s="1"/>
      <c r="E2" s="1"/>
      <c r="F2" s="1"/>
    </row>
    <row r="3" customFormat="false" ht="19.5" hidden="false" customHeight="true" outlineLevel="0" collapsed="false">
      <c r="B3" s="2" t="s">
        <v>20</v>
      </c>
      <c r="C3" s="2"/>
      <c r="D3" s="2"/>
      <c r="E3" s="2"/>
      <c r="F3" s="2"/>
    </row>
    <row r="5" customFormat="false" ht="15" hidden="false" customHeight="false" outlineLevel="0" collapsed="false">
      <c r="B5" s="8" t="s">
        <v>21</v>
      </c>
      <c r="D5" s="9" t="s">
        <v>22</v>
      </c>
      <c r="E5" s="10" t="s">
        <v>23</v>
      </c>
    </row>
    <row r="7" customFormat="false" ht="15" hidden="false" customHeight="false" outlineLevel="0" collapsed="false">
      <c r="B7" s="11" t="s">
        <v>24</v>
      </c>
      <c r="C7" s="11"/>
      <c r="D7" s="12" t="s">
        <v>25</v>
      </c>
    </row>
    <row r="8" customFormat="false" ht="15" hidden="false" customHeight="false" outlineLevel="0" collapsed="false">
      <c r="B8" s="11" t="s">
        <v>26</v>
      </c>
      <c r="C8" s="11"/>
      <c r="D8" s="13" t="n">
        <v>12345678909</v>
      </c>
      <c r="E8" s="7" t="s">
        <v>27</v>
      </c>
    </row>
    <row r="9" customFormat="false" ht="15" hidden="false" customHeight="false" outlineLevel="0" collapsed="false">
      <c r="B9" s="11" t="s">
        <v>28</v>
      </c>
      <c r="C9" s="11"/>
      <c r="D9" s="14" t="n">
        <v>31121</v>
      </c>
    </row>
    <row r="10" customFormat="false" ht="15" hidden="false" customHeight="false" outlineLevel="0" collapsed="false">
      <c r="B10" s="11" t="s">
        <v>29</v>
      </c>
      <c r="C10" s="11"/>
      <c r="D10" s="15" t="n">
        <v>123456789012</v>
      </c>
    </row>
    <row r="11" customFormat="false" ht="15" hidden="false" customHeight="false" outlineLevel="0" collapsed="false">
      <c r="B11" s="11" t="s">
        <v>30</v>
      </c>
      <c r="C11" s="11"/>
      <c r="D11" s="12" t="s">
        <v>31</v>
      </c>
    </row>
    <row r="12" customFormat="false" ht="15" hidden="false" customHeight="false" outlineLevel="0" collapsed="false">
      <c r="B12" s="11" t="s">
        <v>32</v>
      </c>
      <c r="C12" s="11"/>
      <c r="D12" s="12" t="s">
        <v>33</v>
      </c>
    </row>
    <row r="13" customFormat="false" ht="15" hidden="false" customHeight="false" outlineLevel="0" collapsed="false">
      <c r="B13" s="11" t="s">
        <v>34</v>
      </c>
      <c r="C13" s="11"/>
      <c r="D13" s="12" t="s">
        <v>35</v>
      </c>
    </row>
    <row r="14" customFormat="false" ht="15" hidden="false" customHeight="false" outlineLevel="0" collapsed="false">
      <c r="B14" s="11" t="s">
        <v>36</v>
      </c>
      <c r="C14" s="11"/>
      <c r="D14" s="12" t="s">
        <v>37</v>
      </c>
    </row>
    <row r="15" customFormat="false" ht="15" hidden="false" customHeight="false" outlineLevel="0" collapsed="false">
      <c r="B15" s="11" t="s">
        <v>38</v>
      </c>
      <c r="C15" s="11"/>
      <c r="D15" s="12" t="s">
        <v>39</v>
      </c>
    </row>
    <row r="16" customFormat="false" ht="15" hidden="false" customHeight="false" outlineLevel="0" collapsed="false">
      <c r="B16" s="11" t="s">
        <v>40</v>
      </c>
      <c r="C16" s="11"/>
      <c r="D16" s="16" t="n">
        <v>1234000</v>
      </c>
    </row>
    <row r="17" customFormat="false" ht="15" hidden="false" customHeight="false" outlineLevel="0" collapsed="false">
      <c r="B17" s="11" t="s">
        <v>41</v>
      </c>
      <c r="C17" s="11"/>
      <c r="D17" s="17" t="n">
        <v>1133334444</v>
      </c>
    </row>
    <row r="18" customFormat="false" ht="15" hidden="false" customHeight="false" outlineLevel="0" collapsed="false">
      <c r="B18" s="11" t="s">
        <v>42</v>
      </c>
      <c r="C18" s="11"/>
      <c r="D18" s="18" t="n">
        <v>11988887777</v>
      </c>
    </row>
    <row r="19" customFormat="false" ht="15" hidden="false" customHeight="false" outlineLevel="0" collapsed="false">
      <c r="B19" s="11" t="s">
        <v>43</v>
      </c>
      <c r="C19" s="11"/>
      <c r="D19" s="12" t="s">
        <v>44</v>
      </c>
    </row>
    <row r="20" customFormat="false" ht="15" hidden="false" customHeight="false" outlineLevel="0" collapsed="false">
      <c r="B20" s="11" t="s">
        <v>45</v>
      </c>
      <c r="C20" s="11"/>
      <c r="D20" s="12" t="s">
        <v>46</v>
      </c>
    </row>
    <row r="21" customFormat="false" ht="15" hidden="false" customHeight="false" outlineLevel="0" collapsed="false">
      <c r="B21" s="11" t="s">
        <v>47</v>
      </c>
      <c r="C21" s="11"/>
      <c r="D21" s="12" t="s">
        <v>46</v>
      </c>
    </row>
    <row r="22" customFormat="false" ht="15" hidden="false" customHeight="false" outlineLevel="0" collapsed="false">
      <c r="B22" s="11" t="s">
        <v>48</v>
      </c>
      <c r="C22" s="11"/>
      <c r="D22" s="12" t="s">
        <v>46</v>
      </c>
    </row>
    <row r="24" customFormat="false" ht="15" hidden="false" customHeight="false" outlineLevel="0" collapsed="false">
      <c r="B24" s="19" t="s">
        <v>49</v>
      </c>
    </row>
    <row r="25" customFormat="false" ht="15" hidden="false" customHeight="false" outlineLevel="0" collapsed="false">
      <c r="B25" s="11" t="s">
        <v>50</v>
      </c>
      <c r="C25" s="11"/>
      <c r="D25" s="20" t="str">
        <f aca="true">IF(D9="","",DATEDIF(D9,TODAY(),"Y")&amp;" anos")</f>
        <v>41 anos</v>
      </c>
    </row>
    <row r="26" customFormat="false" ht="15" hidden="false" customHeight="false" outlineLevel="0" collapsed="false">
      <c r="B26" s="11" t="s">
        <v>51</v>
      </c>
      <c r="C26" s="11"/>
      <c r="D26" s="20" t="str">
        <f aca="false">TRIM(SUBSTITUTE(SUBSTITUTE(SUBSTITUTE(SUBSTITUTE(D13,"Rua ","R. "),"Avenida ","Av. "),"Travessa ","Tv. "),"Alameda ","Al. "))</f>
        <v>R. das Palmeiras, 123</v>
      </c>
    </row>
    <row r="27" customFormat="false" ht="15" hidden="false" customHeight="false" outlineLevel="0" collapsed="false">
      <c r="B27" s="11" t="s">
        <v>52</v>
      </c>
      <c r="C27" s="11"/>
      <c r="D27" s="20" t="str">
        <f aca="false">TEXT(D8,"000\.000\.000-00")</f>
        <v>123.456.789-09</v>
      </c>
    </row>
    <row r="28" customFormat="false" ht="15" hidden="false" customHeight="false" outlineLevel="0" collapsed="false">
      <c r="B28" s="11" t="s">
        <v>53</v>
      </c>
      <c r="C28" s="11"/>
      <c r="D28" s="21" t="str">
        <f aca="false">HYPERLINK("mailto:"&amp;D20&amp;"?subject="&amp;"Documentos IRPF - "&amp;D7,"✉  Abrir e-mail com assunto pronto")</f>
        <v>✉  Abrir e-mail com assunto pronto</v>
      </c>
    </row>
  </sheetData>
  <mergeCells count="22">
    <mergeCell ref="B2:F2"/>
    <mergeCell ref="B3:F3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5:C25"/>
    <mergeCell ref="B26:C26"/>
    <mergeCell ref="B27:C27"/>
    <mergeCell ref="B28:C28"/>
  </mergeCells>
  <dataValidations count="12">
    <dataValidation allowBlank="false" error="Digite o nome completo." errorStyle="stop" errorTitle="Valor inválido" operator="greaterThan" showDropDown="false" showErrorMessage="true" showInputMessage="false" sqref="D7" type="textLength">
      <formula1>3</formula1>
      <formula2>0</formula2>
    </dataValidation>
    <dataValidation allowBlank="false" error="O CPF deve ter 11 dígitos, só números." errorStyle="stop" errorTitle="Valor inválido" operator="between" showDropDown="false" showErrorMessage="true" showInputMessage="false" sqref="D8" type="custom">
      <formula1>AND(ISNUMBER(D8),LEN(TEXT(D8,"00000000000"))=11)</formula1>
      <formula2>0</formula2>
    </dataValidation>
    <dataValidation allowBlank="false" error="Digite uma data válida (dd/mm/aaaa)." errorStyle="stop" errorTitle="Valor inválido" operator="between" showDropDown="false" showErrorMessage="true" showInputMessage="false" sqref="D9" type="date">
      <formula1>DATE(1900,1,1)</formula1>
      <formula2>TODAY()</formula2>
    </dataValidation>
    <dataValidation allowBlank="false" error="Até 12 dígitos, só números." errorStyle="stop" errorTitle="Valor inválido" operator="between" showDropDown="false" showErrorMessage="true" showInputMessage="false" sqref="D10" type="whole">
      <formula1>0</formula1>
      <formula2>999999999999</formula2>
    </dataValidation>
    <dataValidation allowBlank="false" error="Escolha a UF na lista." errorStyle="stop" errorTitle="Valor inválido" operator="between" showDropDown="false" showErrorMessage="true" showInputMessage="false" sqref="D15" type="list">
      <formula1>lista_uf</formula1>
      <formula2>0</formula2>
    </dataValidation>
    <dataValidation allowBlank="false" error="CEP com 8 dígitos, só números." errorStyle="stop" errorTitle="Valor inválido" operator="between" showDropDown="false" showErrorMessage="true" showInputMessage="false" sqref="D16" type="whole">
      <formula1>1000000</formula1>
      <formula2>99999999</formula2>
    </dataValidation>
    <dataValidation allowBlank="false" error="DDD + 8 dígitos." errorStyle="stop" errorTitle="Valor inválido" operator="between" showDropDown="false" showErrorMessage="true" showInputMessage="false" sqref="D17" type="whole">
      <formula1>1000000000</formula1>
      <formula2>9999999999</formula2>
    </dataValidation>
    <dataValidation allowBlank="false" error="DDD + 9 dígitos." errorStyle="stop" errorTitle="Valor inválido" operator="between" showDropDown="false" showErrorMessage="true" showInputMessage="false" sqref="D18" type="whole">
      <formula1>10000000000</formula1>
      <formula2>99999999999</formula2>
    </dataValidation>
    <dataValidation allowBlank="false" error="Digite um e-mail válido (com @ e ponto)." errorStyle="stop" errorTitle="Valor inválido" operator="between" showDropDown="false" showErrorMessage="true" showInputMessage="false" sqref="D19" type="custom">
      <formula1>AND(ISNUMBER(FIND("@",D20)),ISNUMBER(FIND(".",D20)))</formula1>
      <formula2>0</formula2>
    </dataValidation>
    <dataValidation allowBlank="false" error="Escolha SIM ou NÃO." errorStyle="stop" errorTitle="Valor inválido" operator="between" showDropDown="false" showErrorMessage="true" showInputMessage="false" sqref="D20" type="list">
      <formula1>lista_sim_nao</formula1>
      <formula2>0</formula2>
    </dataValidation>
    <dataValidation allowBlank="false" error="Escolha SIM ou NÃO." errorStyle="stop" errorTitle="Valor inválido" operator="between" showDropDown="false" showErrorMessage="true" showInputMessage="false" sqref="D21" type="list">
      <formula1>lista_sim_nao</formula1>
      <formula2>0</formula2>
    </dataValidation>
    <dataValidation allowBlank="false" error="Escolha SIM ou NÃO." errorStyle="stop" errorTitle="Valor inválido" operator="between" showDropDown="false" showErrorMessage="true" showInputMessage="false" sqref="D22" type="list">
      <formula1>lista_sim_nao</formula1>
      <formula2>0</formula2>
    </dataValidation>
  </dataValidations>
  <hyperlinks>
    <hyperlink ref="B5" location="'MENU'!A1" display="◀ 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998B"/>
    <pageSetUpPr fitToPage="true"/>
  </sheetPr>
  <dimension ref="B2:J22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6" min="5" style="0" width="17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4"/>
  </cols>
  <sheetData>
    <row r="2" customFormat="false" ht="31.5" hidden="false" customHeight="true" outlineLevel="0" collapsed="false">
      <c r="B2" s="1" t="s">
        <v>54</v>
      </c>
      <c r="C2" s="1"/>
      <c r="D2" s="1"/>
      <c r="E2" s="1"/>
      <c r="F2" s="1"/>
      <c r="G2" s="1"/>
      <c r="H2" s="1"/>
      <c r="I2" s="1"/>
      <c r="J2" s="1"/>
    </row>
    <row r="3" customFormat="false" ht="19.5" hidden="false" customHeight="true" outlineLevel="0" collapsed="false">
      <c r="B3" s="2" t="s">
        <v>55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8" t="s">
        <v>21</v>
      </c>
      <c r="E5" s="9" t="s">
        <v>22</v>
      </c>
      <c r="F5" s="10" t="s">
        <v>23</v>
      </c>
    </row>
    <row r="7" customFormat="false" ht="30" hidden="false" customHeight="true" outlineLevel="0" collapsed="false">
      <c r="B7" s="22" t="s">
        <v>56</v>
      </c>
      <c r="C7" s="22" t="s">
        <v>57</v>
      </c>
      <c r="D7" s="22" t="s">
        <v>58</v>
      </c>
      <c r="E7" s="22" t="s">
        <v>59</v>
      </c>
      <c r="F7" s="22" t="s">
        <v>60</v>
      </c>
      <c r="G7" s="22" t="s">
        <v>61</v>
      </c>
      <c r="H7" s="22" t="s">
        <v>62</v>
      </c>
      <c r="I7" s="22" t="s">
        <v>63</v>
      </c>
    </row>
    <row r="8" customFormat="false" ht="15" hidden="false" customHeight="false" outlineLevel="0" collapsed="false">
      <c r="B8" s="23" t="n">
        <v>1</v>
      </c>
      <c r="C8" s="24" t="s">
        <v>64</v>
      </c>
      <c r="D8" s="24" t="s">
        <v>65</v>
      </c>
      <c r="E8" s="25" t="n">
        <v>1850</v>
      </c>
      <c r="F8" s="25" t="n">
        <v>2340.5</v>
      </c>
      <c r="G8" s="25" t="n">
        <v>0</v>
      </c>
      <c r="H8" s="26" t="s">
        <v>66</v>
      </c>
      <c r="I8" s="24" t="s">
        <v>67</v>
      </c>
    </row>
    <row r="9" customFormat="false" ht="15" hidden="false" customHeight="false" outlineLevel="0" collapsed="false">
      <c r="B9" s="23" t="n">
        <v>2</v>
      </c>
      <c r="C9" s="24" t="s">
        <v>64</v>
      </c>
      <c r="D9" s="24" t="s">
        <v>68</v>
      </c>
      <c r="E9" s="25" t="n">
        <v>5000</v>
      </c>
      <c r="F9" s="25" t="n">
        <v>6120.3</v>
      </c>
      <c r="G9" s="25" t="n">
        <v>520.3</v>
      </c>
      <c r="H9" s="26" t="s">
        <v>66</v>
      </c>
      <c r="I9" s="24" t="s">
        <v>67</v>
      </c>
    </row>
    <row r="10" customFormat="false" ht="15" hidden="false" customHeight="false" outlineLevel="0" collapsed="false">
      <c r="B10" s="23" t="n">
        <v>3</v>
      </c>
      <c r="C10" s="24" t="s">
        <v>69</v>
      </c>
      <c r="D10" s="24" t="s">
        <v>70</v>
      </c>
      <c r="E10" s="25" t="n">
        <v>3200</v>
      </c>
      <c r="F10" s="25" t="n">
        <v>3415.8</v>
      </c>
      <c r="G10" s="25" t="n">
        <v>215.8</v>
      </c>
      <c r="H10" s="26" t="s">
        <v>46</v>
      </c>
      <c r="I10" s="24"/>
    </row>
    <row r="11" customFormat="false" ht="15" hidden="false" customHeight="false" outlineLevel="0" collapsed="false">
      <c r="B11" s="23" t="n">
        <v>4</v>
      </c>
      <c r="C11" s="24" t="s">
        <v>71</v>
      </c>
      <c r="D11" s="24" t="s">
        <v>65</v>
      </c>
      <c r="E11" s="25" t="n">
        <v>410</v>
      </c>
      <c r="F11" s="25" t="n">
        <v>980.25</v>
      </c>
      <c r="G11" s="25" t="n">
        <v>0</v>
      </c>
      <c r="H11" s="26" t="s">
        <v>66</v>
      </c>
      <c r="I11" s="24" t="s">
        <v>72</v>
      </c>
    </row>
    <row r="12" customFormat="false" ht="15" hidden="false" customHeight="false" outlineLevel="0" collapsed="false">
      <c r="B12" s="23" t="n">
        <v>5</v>
      </c>
      <c r="C12" s="24"/>
      <c r="D12" s="24"/>
      <c r="E12" s="25"/>
      <c r="F12" s="25"/>
      <c r="G12" s="25"/>
      <c r="H12" s="26"/>
      <c r="I12" s="24"/>
    </row>
    <row r="13" customFormat="false" ht="15" hidden="false" customHeight="false" outlineLevel="0" collapsed="false">
      <c r="B13" s="23" t="n">
        <v>6</v>
      </c>
      <c r="C13" s="24"/>
      <c r="D13" s="24"/>
      <c r="E13" s="25"/>
      <c r="F13" s="25"/>
      <c r="G13" s="25"/>
      <c r="H13" s="26"/>
      <c r="I13" s="24"/>
    </row>
    <row r="14" customFormat="false" ht="15" hidden="false" customHeight="false" outlineLevel="0" collapsed="false">
      <c r="B14" s="23" t="n">
        <v>7</v>
      </c>
      <c r="C14" s="24"/>
      <c r="D14" s="24"/>
      <c r="E14" s="25"/>
      <c r="F14" s="25"/>
      <c r="G14" s="25"/>
      <c r="H14" s="26"/>
      <c r="I14" s="24"/>
    </row>
    <row r="15" customFormat="false" ht="15" hidden="false" customHeight="false" outlineLevel="0" collapsed="false">
      <c r="B15" s="23" t="n">
        <v>8</v>
      </c>
      <c r="C15" s="24"/>
      <c r="D15" s="24"/>
      <c r="E15" s="25"/>
      <c r="F15" s="25"/>
      <c r="G15" s="25"/>
      <c r="H15" s="26"/>
      <c r="I15" s="24"/>
    </row>
    <row r="16" customFormat="false" ht="15" hidden="false" customHeight="false" outlineLevel="0" collapsed="false">
      <c r="B16" s="23" t="n">
        <v>9</v>
      </c>
      <c r="C16" s="24"/>
      <c r="D16" s="24"/>
      <c r="E16" s="25"/>
      <c r="F16" s="25"/>
      <c r="G16" s="25"/>
      <c r="H16" s="26"/>
      <c r="I16" s="24"/>
    </row>
    <row r="17" customFormat="false" ht="15" hidden="false" customHeight="false" outlineLevel="0" collapsed="false">
      <c r="B17" s="23" t="n">
        <v>10</v>
      </c>
      <c r="C17" s="24"/>
      <c r="D17" s="24"/>
      <c r="E17" s="25"/>
      <c r="F17" s="25"/>
      <c r="G17" s="25"/>
      <c r="H17" s="26"/>
      <c r="I17" s="24"/>
    </row>
    <row r="18" customFormat="false" ht="15" hidden="false" customHeight="false" outlineLevel="0" collapsed="false">
      <c r="B18" s="23" t="n">
        <v>11</v>
      </c>
      <c r="C18" s="24"/>
      <c r="D18" s="24"/>
      <c r="E18" s="25"/>
      <c r="F18" s="25"/>
      <c r="G18" s="25"/>
      <c r="H18" s="26"/>
      <c r="I18" s="24"/>
    </row>
    <row r="19" customFormat="false" ht="15" hidden="false" customHeight="false" outlineLevel="0" collapsed="false">
      <c r="B19" s="23" t="n">
        <v>12</v>
      </c>
      <c r="C19" s="24"/>
      <c r="D19" s="24"/>
      <c r="E19" s="25"/>
      <c r="F19" s="25"/>
      <c r="G19" s="25"/>
      <c r="H19" s="26"/>
      <c r="I19" s="24"/>
    </row>
    <row r="20" customFormat="false" ht="15" hidden="false" customHeight="false" outlineLevel="0" collapsed="false">
      <c r="C20" s="27" t="s">
        <v>73</v>
      </c>
      <c r="E20" s="28" t="n">
        <f aca="false">SUM(E8:E19)</f>
        <v>10460</v>
      </c>
      <c r="F20" s="28" t="n">
        <f aca="false">SUM(F8:F19)</f>
        <v>12856.85</v>
      </c>
      <c r="G20" s="28" t="n">
        <f aca="false">SUM(G8:G19)</f>
        <v>736.1</v>
      </c>
    </row>
    <row r="22" customFormat="false" ht="15" hidden="false" customHeight="false" outlineLevel="0" collapsed="false">
      <c r="C22" s="7" t="s">
        <v>74</v>
      </c>
    </row>
  </sheetData>
  <mergeCells count="2">
    <mergeCell ref="B2:J2"/>
    <mergeCell ref="B3:J3"/>
  </mergeCells>
  <conditionalFormatting sqref="H8:H19">
    <cfRule type="cellIs" priority="2" operator="equal" aboveAverage="0" equalAverage="0" bottom="0" percent="0" rank="0" text="" dxfId="0">
      <formula>"NÃO"</formula>
    </cfRule>
    <cfRule type="cellIs" priority="3" operator="equal" aboveAverage="0" equalAverage="0" bottom="0" percent="0" rank="0" text="" dxfId="1">
      <formula>"SIM"</formula>
    </cfRule>
  </conditionalFormatting>
  <dataValidations count="4">
    <dataValidation allowBlank="false" error="Escolha o banco na lista." errorStyle="stop" errorTitle="Banco inválido" operator="between" showDropDown="false" showErrorMessage="true" showInputMessage="false" sqref="C8:C19" type="list">
      <formula1>lista_bancos</formula1>
      <formula2>0</formula2>
    </dataValidation>
    <dataValidation allowBlank="false" error="Escolha o tipo na lista." errorStyle="stop" errorTitle="Tipo inválido" operator="between" showDropDown="false" showErrorMessage="true" showInputMessage="false" sqref="D8:D19" type="list">
      <formula1>lista_tipo_conta</formula1>
      <formula2>0</formula2>
    </dataValidation>
    <dataValidation allowBlank="false" error="Digite um valor positivo." errorStyle="stop" errorTitle="Valor inválido" operator="greaterThanOrEqual" showDropDown="false" showErrorMessage="true" showInputMessage="false" sqref="E8:G19" type="decimal">
      <formula1>0</formula1>
      <formula2>0</formula2>
    </dataValidation>
    <dataValidation allowBlank="false" error="Escolha SIM ou NÃO." errorStyle="stop" errorTitle="Valor inválido" operator="between" showDropDown="false" showErrorMessage="true" showInputMessage="false" sqref="H8:H19" type="list">
      <formula1>lista_sim_nao</formula1>
      <formula2>0</formula2>
    </dataValidation>
  </dataValidations>
  <hyperlinks>
    <hyperlink ref="B5" location="'MENU'!A1" display="◀ 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998B"/>
    <pageSetUpPr fitToPage="true"/>
  </sheetPr>
  <dimension ref="B2:J68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8" min="7" style="0" width="16"/>
    <col collapsed="false" customWidth="true" hidden="false" outlineLevel="0" max="9" min="9" style="0" width="24"/>
    <col collapsed="false" customWidth="true" hidden="false" outlineLevel="0" max="10" min="10" style="0" width="4"/>
  </cols>
  <sheetData>
    <row r="2" customFormat="false" ht="31.5" hidden="false" customHeight="true" outlineLevel="0" collapsed="false">
      <c r="B2" s="1" t="s">
        <v>75</v>
      </c>
      <c r="C2" s="1"/>
      <c r="D2" s="1"/>
      <c r="E2" s="1"/>
      <c r="F2" s="1"/>
      <c r="G2" s="1"/>
      <c r="H2" s="1"/>
      <c r="I2" s="1"/>
      <c r="J2" s="1"/>
    </row>
    <row r="3" customFormat="false" ht="19.5" hidden="false" customHeight="true" outlineLevel="0" collapsed="false">
      <c r="B3" s="2" t="s">
        <v>76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8" t="s">
        <v>21</v>
      </c>
      <c r="E5" s="9" t="s">
        <v>22</v>
      </c>
      <c r="F5" s="10" t="s">
        <v>23</v>
      </c>
    </row>
    <row r="7" customFormat="false" ht="30" hidden="false" customHeight="true" outlineLevel="0" collapsed="false">
      <c r="B7" s="22" t="s">
        <v>77</v>
      </c>
      <c r="C7" s="22" t="s">
        <v>78</v>
      </c>
      <c r="D7" s="22" t="s">
        <v>79</v>
      </c>
      <c r="E7" s="22" t="s">
        <v>80</v>
      </c>
      <c r="F7" s="22" t="s">
        <v>81</v>
      </c>
      <c r="G7" s="22" t="s">
        <v>82</v>
      </c>
      <c r="H7" s="22" t="s">
        <v>83</v>
      </c>
      <c r="I7" s="22" t="s">
        <v>84</v>
      </c>
    </row>
    <row r="8" customFormat="false" ht="15" hidden="false" customHeight="false" outlineLevel="0" collapsed="false">
      <c r="B8" s="29" t="n">
        <v>45662</v>
      </c>
      <c r="C8" s="30" t="str">
        <f aca="false">IF(B8="","",CHOOSE(MONTH(B8),"Jan","Fev","Mar","Abr","Mai","Jun","Jul","Ago","Set","Out","Nov","Dez"))</f>
        <v>Jan</v>
      </c>
      <c r="D8" s="24" t="s">
        <v>85</v>
      </c>
      <c r="E8" s="24" t="s">
        <v>86</v>
      </c>
      <c r="F8" s="31" t="s">
        <v>87</v>
      </c>
      <c r="G8" s="25" t="n">
        <v>3500</v>
      </c>
      <c r="H8" s="25" t="n">
        <v>180.4</v>
      </c>
      <c r="I8" s="24"/>
    </row>
    <row r="9" customFormat="false" ht="15" hidden="false" customHeight="false" outlineLevel="0" collapsed="false">
      <c r="B9" s="29" t="n">
        <v>45693</v>
      </c>
      <c r="C9" s="30" t="str">
        <f aca="false">IF(B9="","",CHOOSE(MONTH(B9),"Jan","Fev","Mar","Abr","Mai","Jun","Jul","Ago","Set","Out","Nov","Dez"))</f>
        <v>Fev</v>
      </c>
      <c r="D9" s="24" t="s">
        <v>85</v>
      </c>
      <c r="E9" s="24" t="s">
        <v>86</v>
      </c>
      <c r="F9" s="31" t="s">
        <v>87</v>
      </c>
      <c r="G9" s="25" t="n">
        <v>3500</v>
      </c>
      <c r="H9" s="25" t="n">
        <v>180.4</v>
      </c>
      <c r="I9" s="24"/>
    </row>
    <row r="10" customFormat="false" ht="15" hidden="false" customHeight="false" outlineLevel="0" collapsed="false">
      <c r="B10" s="29" t="n">
        <v>45708</v>
      </c>
      <c r="C10" s="30" t="str">
        <f aca="false">IF(B10="","",CHOOSE(MONTH(B10),"Jan","Fev","Mar","Abr","Mai","Jun","Jul","Ago","Set","Out","Nov","Dez"))</f>
        <v>Fev</v>
      </c>
      <c r="D10" s="24" t="s">
        <v>88</v>
      </c>
      <c r="E10" s="24" t="s">
        <v>89</v>
      </c>
      <c r="F10" s="31" t="s">
        <v>90</v>
      </c>
      <c r="G10" s="25" t="n">
        <v>800</v>
      </c>
      <c r="H10" s="25" t="n">
        <v>0</v>
      </c>
      <c r="I10" s="24" t="s">
        <v>91</v>
      </c>
    </row>
    <row r="11" customFormat="false" ht="15" hidden="false" customHeight="false" outlineLevel="0" collapsed="false">
      <c r="B11" s="29" t="n">
        <v>45721</v>
      </c>
      <c r="C11" s="30" t="str">
        <f aca="false">IF(B11="","",CHOOSE(MONTH(B11),"Jan","Fev","Mar","Abr","Mai","Jun","Jul","Ago","Set","Out","Nov","Dez"))</f>
        <v>Mar</v>
      </c>
      <c r="D11" s="24" t="s">
        <v>85</v>
      </c>
      <c r="E11" s="24" t="s">
        <v>86</v>
      </c>
      <c r="F11" s="31" t="s">
        <v>87</v>
      </c>
      <c r="G11" s="25" t="n">
        <v>3500</v>
      </c>
      <c r="H11" s="25" t="n">
        <v>180.4</v>
      </c>
      <c r="I11" s="24"/>
    </row>
    <row r="12" customFormat="false" ht="15" hidden="false" customHeight="false" outlineLevel="0" collapsed="false">
      <c r="B12" s="29" t="n">
        <v>45752</v>
      </c>
      <c r="C12" s="30" t="str">
        <f aca="false">IF(B12="","",CHOOSE(MONTH(B12),"Jan","Fev","Mar","Abr","Mai","Jun","Jul","Ago","Set","Out","Nov","Dez"))</f>
        <v>Abr</v>
      </c>
      <c r="D12" s="24" t="s">
        <v>85</v>
      </c>
      <c r="E12" s="24" t="s">
        <v>86</v>
      </c>
      <c r="F12" s="31" t="s">
        <v>87</v>
      </c>
      <c r="G12" s="25" t="n">
        <v>3650</v>
      </c>
      <c r="H12" s="25" t="n">
        <v>198.2</v>
      </c>
      <c r="I12" s="24" t="s">
        <v>92</v>
      </c>
    </row>
    <row r="13" customFormat="false" ht="15" hidden="false" customHeight="false" outlineLevel="0" collapsed="false">
      <c r="B13" s="29" t="n">
        <v>45765</v>
      </c>
      <c r="C13" s="30" t="str">
        <f aca="false">IF(B13="","",CHOOSE(MONTH(B13),"Jan","Fev","Mar","Abr","Mai","Jun","Jul","Ago","Set","Out","Nov","Dez"))</f>
        <v>Abr</v>
      </c>
      <c r="D13" s="24" t="s">
        <v>93</v>
      </c>
      <c r="E13" s="24" t="s">
        <v>94</v>
      </c>
      <c r="F13" s="31" t="s">
        <v>90</v>
      </c>
      <c r="G13" s="25" t="n">
        <v>1200</v>
      </c>
      <c r="H13" s="25" t="n">
        <v>0</v>
      </c>
      <c r="I13" s="24" t="s">
        <v>95</v>
      </c>
    </row>
    <row r="14" customFormat="false" ht="15" hidden="false" customHeight="false" outlineLevel="0" collapsed="false">
      <c r="B14" s="29" t="n">
        <v>45782</v>
      </c>
      <c r="C14" s="30" t="str">
        <f aca="false">IF(B14="","",CHOOSE(MONTH(B14),"Jan","Fev","Mar","Abr","Mai","Jun","Jul","Ago","Set","Out","Nov","Dez"))</f>
        <v>Mai</v>
      </c>
      <c r="D14" s="24" t="s">
        <v>85</v>
      </c>
      <c r="E14" s="24" t="s">
        <v>86</v>
      </c>
      <c r="F14" s="31" t="s">
        <v>87</v>
      </c>
      <c r="G14" s="25" t="n">
        <v>3650</v>
      </c>
      <c r="H14" s="25" t="n">
        <v>198.2</v>
      </c>
      <c r="I14" s="24"/>
    </row>
    <row r="15" customFormat="false" ht="15" hidden="false" customHeight="false" outlineLevel="0" collapsed="false">
      <c r="B15" s="29" t="n">
        <v>45813</v>
      </c>
      <c r="C15" s="30" t="str">
        <f aca="false">IF(B15="","",CHOOSE(MONTH(B15),"Jan","Fev","Mar","Abr","Mai","Jun","Jul","Ago","Set","Out","Nov","Dez"))</f>
        <v>Jun</v>
      </c>
      <c r="D15" s="24" t="s">
        <v>85</v>
      </c>
      <c r="E15" s="24" t="s">
        <v>86</v>
      </c>
      <c r="F15" s="31" t="s">
        <v>87</v>
      </c>
      <c r="G15" s="25" t="n">
        <v>3650</v>
      </c>
      <c r="H15" s="25" t="n">
        <v>198.2</v>
      </c>
      <c r="I15" s="24"/>
    </row>
    <row r="16" customFormat="false" ht="15" hidden="false" customHeight="false" outlineLevel="0" collapsed="false">
      <c r="B16" s="29"/>
      <c r="C16" s="30" t="str">
        <f aca="false">IF(B16="","",CHOOSE(MONTH(B16),"Jan","Fev","Mar","Abr","Mai","Jun","Jul","Ago","Set","Out","Nov","Dez"))</f>
        <v/>
      </c>
      <c r="D16" s="24"/>
      <c r="E16" s="24"/>
      <c r="F16" s="31"/>
      <c r="G16" s="25"/>
      <c r="H16" s="25"/>
      <c r="I16" s="24"/>
    </row>
    <row r="17" customFormat="false" ht="15" hidden="false" customHeight="false" outlineLevel="0" collapsed="false">
      <c r="B17" s="29"/>
      <c r="C17" s="30" t="str">
        <f aca="false">IF(B17="","",CHOOSE(MONTH(B17),"Jan","Fev","Mar","Abr","Mai","Jun","Jul","Ago","Set","Out","Nov","Dez"))</f>
        <v/>
      </c>
      <c r="D17" s="24"/>
      <c r="E17" s="24"/>
      <c r="F17" s="31"/>
      <c r="G17" s="25"/>
      <c r="H17" s="25"/>
      <c r="I17" s="24"/>
    </row>
    <row r="18" customFormat="false" ht="15" hidden="false" customHeight="false" outlineLevel="0" collapsed="false">
      <c r="B18" s="29"/>
      <c r="C18" s="30" t="str">
        <f aca="false">IF(B18="","",CHOOSE(MONTH(B18),"Jan","Fev","Mar","Abr","Mai","Jun","Jul","Ago","Set","Out","Nov","Dez"))</f>
        <v/>
      </c>
      <c r="D18" s="24"/>
      <c r="E18" s="24"/>
      <c r="F18" s="31"/>
      <c r="G18" s="25"/>
      <c r="H18" s="25"/>
      <c r="I18" s="24"/>
    </row>
    <row r="19" customFormat="false" ht="15" hidden="false" customHeight="false" outlineLevel="0" collapsed="false">
      <c r="B19" s="29"/>
      <c r="C19" s="30" t="str">
        <f aca="false">IF(B19="","",CHOOSE(MONTH(B19),"Jan","Fev","Mar","Abr","Mai","Jun","Jul","Ago","Set","Out","Nov","Dez"))</f>
        <v/>
      </c>
      <c r="D19" s="24"/>
      <c r="E19" s="24"/>
      <c r="F19" s="31"/>
      <c r="G19" s="25"/>
      <c r="H19" s="25"/>
      <c r="I19" s="24"/>
    </row>
    <row r="20" customFormat="false" ht="15" hidden="false" customHeight="false" outlineLevel="0" collapsed="false">
      <c r="B20" s="29"/>
      <c r="C20" s="30" t="str">
        <f aca="false">IF(B20="","",CHOOSE(MONTH(B20),"Jan","Fev","Mar","Abr","Mai","Jun","Jul","Ago","Set","Out","Nov","Dez"))</f>
        <v/>
      </c>
      <c r="D20" s="24"/>
      <c r="E20" s="24"/>
      <c r="F20" s="31"/>
      <c r="G20" s="25"/>
      <c r="H20" s="25"/>
      <c r="I20" s="24"/>
    </row>
    <row r="21" customFormat="false" ht="15" hidden="false" customHeight="false" outlineLevel="0" collapsed="false">
      <c r="B21" s="29"/>
      <c r="C21" s="30" t="str">
        <f aca="false">IF(B21="","",CHOOSE(MONTH(B21),"Jan","Fev","Mar","Abr","Mai","Jun","Jul","Ago","Set","Out","Nov","Dez"))</f>
        <v/>
      </c>
      <c r="D21" s="24"/>
      <c r="E21" s="24"/>
      <c r="F21" s="31"/>
      <c r="G21" s="25"/>
      <c r="H21" s="25"/>
      <c r="I21" s="24"/>
    </row>
    <row r="22" customFormat="false" ht="15" hidden="false" customHeight="false" outlineLevel="0" collapsed="false">
      <c r="B22" s="29"/>
      <c r="C22" s="30" t="str">
        <f aca="false">IF(B22="","",CHOOSE(MONTH(B22),"Jan","Fev","Mar","Abr","Mai","Jun","Jul","Ago","Set","Out","Nov","Dez"))</f>
        <v/>
      </c>
      <c r="D22" s="24"/>
      <c r="E22" s="24"/>
      <c r="F22" s="31"/>
      <c r="G22" s="25"/>
      <c r="H22" s="25"/>
      <c r="I22" s="24"/>
    </row>
    <row r="23" customFormat="false" ht="15" hidden="false" customHeight="false" outlineLevel="0" collapsed="false">
      <c r="B23" s="29"/>
      <c r="C23" s="30" t="str">
        <f aca="false">IF(B23="","",CHOOSE(MONTH(B23),"Jan","Fev","Mar","Abr","Mai","Jun","Jul","Ago","Set","Out","Nov","Dez"))</f>
        <v/>
      </c>
      <c r="D23" s="24"/>
      <c r="E23" s="24"/>
      <c r="F23" s="31"/>
      <c r="G23" s="25"/>
      <c r="H23" s="25"/>
      <c r="I23" s="24"/>
    </row>
    <row r="24" customFormat="false" ht="15" hidden="false" customHeight="false" outlineLevel="0" collapsed="false">
      <c r="B24" s="29"/>
      <c r="C24" s="30" t="str">
        <f aca="false">IF(B24="","",CHOOSE(MONTH(B24),"Jan","Fev","Mar","Abr","Mai","Jun","Jul","Ago","Set","Out","Nov","Dez"))</f>
        <v/>
      </c>
      <c r="D24" s="24"/>
      <c r="E24" s="24"/>
      <c r="F24" s="31"/>
      <c r="G24" s="25"/>
      <c r="H24" s="25"/>
      <c r="I24" s="24"/>
    </row>
    <row r="25" customFormat="false" ht="15" hidden="false" customHeight="false" outlineLevel="0" collapsed="false">
      <c r="B25" s="29"/>
      <c r="C25" s="30" t="str">
        <f aca="false">IF(B25="","",CHOOSE(MONTH(B25),"Jan","Fev","Mar","Abr","Mai","Jun","Jul","Ago","Set","Out","Nov","Dez"))</f>
        <v/>
      </c>
      <c r="D25" s="24"/>
      <c r="E25" s="24"/>
      <c r="F25" s="31"/>
      <c r="G25" s="25"/>
      <c r="H25" s="25"/>
      <c r="I25" s="24"/>
    </row>
    <row r="26" customFormat="false" ht="15" hidden="false" customHeight="false" outlineLevel="0" collapsed="false">
      <c r="B26" s="29"/>
      <c r="C26" s="30" t="str">
        <f aca="false">IF(B26="","",CHOOSE(MONTH(B26),"Jan","Fev","Mar","Abr","Mai","Jun","Jul","Ago","Set","Out","Nov","Dez"))</f>
        <v/>
      </c>
      <c r="D26" s="24"/>
      <c r="E26" s="24"/>
      <c r="F26" s="31"/>
      <c r="G26" s="25"/>
      <c r="H26" s="25"/>
      <c r="I26" s="24"/>
    </row>
    <row r="27" customFormat="false" ht="15" hidden="false" customHeight="false" outlineLevel="0" collapsed="false">
      <c r="B27" s="29"/>
      <c r="C27" s="30" t="str">
        <f aca="false">IF(B27="","",CHOOSE(MONTH(B27),"Jan","Fev","Mar","Abr","Mai","Jun","Jul","Ago","Set","Out","Nov","Dez"))</f>
        <v/>
      </c>
      <c r="D27" s="24"/>
      <c r="E27" s="24"/>
      <c r="F27" s="31"/>
      <c r="G27" s="25"/>
      <c r="H27" s="25"/>
      <c r="I27" s="24"/>
    </row>
    <row r="28" customFormat="false" ht="15" hidden="false" customHeight="false" outlineLevel="0" collapsed="false">
      <c r="B28" s="29"/>
      <c r="C28" s="30" t="str">
        <f aca="false">IF(B28="","",CHOOSE(MONTH(B28),"Jan","Fev","Mar","Abr","Mai","Jun","Jul","Ago","Set","Out","Nov","Dez"))</f>
        <v/>
      </c>
      <c r="D28" s="24"/>
      <c r="E28" s="24"/>
      <c r="F28" s="31"/>
      <c r="G28" s="25"/>
      <c r="H28" s="25"/>
      <c r="I28" s="24"/>
    </row>
    <row r="29" customFormat="false" ht="15" hidden="false" customHeight="false" outlineLevel="0" collapsed="false">
      <c r="B29" s="29"/>
      <c r="C29" s="30" t="str">
        <f aca="false">IF(B29="","",CHOOSE(MONTH(B29),"Jan","Fev","Mar","Abr","Mai","Jun","Jul","Ago","Set","Out","Nov","Dez"))</f>
        <v/>
      </c>
      <c r="D29" s="24"/>
      <c r="E29" s="24"/>
      <c r="F29" s="31"/>
      <c r="G29" s="25"/>
      <c r="H29" s="25"/>
      <c r="I29" s="24"/>
    </row>
    <row r="30" customFormat="false" ht="15" hidden="false" customHeight="false" outlineLevel="0" collapsed="false">
      <c r="B30" s="29"/>
      <c r="C30" s="30" t="str">
        <f aca="false">IF(B30="","",CHOOSE(MONTH(B30),"Jan","Fev","Mar","Abr","Mai","Jun","Jul","Ago","Set","Out","Nov","Dez"))</f>
        <v/>
      </c>
      <c r="D30" s="24"/>
      <c r="E30" s="24"/>
      <c r="F30" s="31"/>
      <c r="G30" s="25"/>
      <c r="H30" s="25"/>
      <c r="I30" s="24"/>
    </row>
    <row r="31" customFormat="false" ht="15" hidden="false" customHeight="false" outlineLevel="0" collapsed="false">
      <c r="B31" s="29"/>
      <c r="C31" s="30" t="str">
        <f aca="false">IF(B31="","",CHOOSE(MONTH(B31),"Jan","Fev","Mar","Abr","Mai","Jun","Jul","Ago","Set","Out","Nov","Dez"))</f>
        <v/>
      </c>
      <c r="D31" s="24"/>
      <c r="E31" s="24"/>
      <c r="F31" s="31"/>
      <c r="G31" s="25"/>
      <c r="H31" s="25"/>
      <c r="I31" s="24"/>
    </row>
    <row r="32" customFormat="false" ht="15" hidden="false" customHeight="false" outlineLevel="0" collapsed="false">
      <c r="B32" s="29"/>
      <c r="C32" s="30" t="str">
        <f aca="false">IF(B32="","",CHOOSE(MONTH(B32),"Jan","Fev","Mar","Abr","Mai","Jun","Jul","Ago","Set","Out","Nov","Dez"))</f>
        <v/>
      </c>
      <c r="D32" s="24"/>
      <c r="E32" s="24"/>
      <c r="F32" s="31"/>
      <c r="G32" s="25"/>
      <c r="H32" s="25"/>
      <c r="I32" s="24"/>
    </row>
    <row r="33" customFormat="false" ht="15" hidden="false" customHeight="false" outlineLevel="0" collapsed="false">
      <c r="B33" s="29"/>
      <c r="C33" s="30" t="str">
        <f aca="false">IF(B33="","",CHOOSE(MONTH(B33),"Jan","Fev","Mar","Abr","Mai","Jun","Jul","Ago","Set","Out","Nov","Dez"))</f>
        <v/>
      </c>
      <c r="D33" s="24"/>
      <c r="E33" s="24"/>
      <c r="F33" s="31"/>
      <c r="G33" s="25"/>
      <c r="H33" s="25"/>
      <c r="I33" s="24"/>
    </row>
    <row r="34" customFormat="false" ht="15" hidden="false" customHeight="false" outlineLevel="0" collapsed="false">
      <c r="B34" s="29"/>
      <c r="C34" s="30" t="str">
        <f aca="false">IF(B34="","",CHOOSE(MONTH(B34),"Jan","Fev","Mar","Abr","Mai","Jun","Jul","Ago","Set","Out","Nov","Dez"))</f>
        <v/>
      </c>
      <c r="D34" s="24"/>
      <c r="E34" s="24"/>
      <c r="F34" s="31"/>
      <c r="G34" s="25"/>
      <c r="H34" s="25"/>
      <c r="I34" s="24"/>
    </row>
    <row r="35" customFormat="false" ht="15" hidden="false" customHeight="false" outlineLevel="0" collapsed="false">
      <c r="B35" s="29"/>
      <c r="C35" s="30" t="str">
        <f aca="false">IF(B35="","",CHOOSE(MONTH(B35),"Jan","Fev","Mar","Abr","Mai","Jun","Jul","Ago","Set","Out","Nov","Dez"))</f>
        <v/>
      </c>
      <c r="D35" s="24"/>
      <c r="E35" s="24"/>
      <c r="F35" s="31"/>
      <c r="G35" s="25"/>
      <c r="H35" s="25"/>
      <c r="I35" s="24"/>
    </row>
    <row r="36" customFormat="false" ht="15" hidden="false" customHeight="false" outlineLevel="0" collapsed="false">
      <c r="B36" s="29"/>
      <c r="C36" s="30" t="str">
        <f aca="false">IF(B36="","",CHOOSE(MONTH(B36),"Jan","Fev","Mar","Abr","Mai","Jun","Jul","Ago","Set","Out","Nov","Dez"))</f>
        <v/>
      </c>
      <c r="D36" s="24"/>
      <c r="E36" s="24"/>
      <c r="F36" s="31"/>
      <c r="G36" s="25"/>
      <c r="H36" s="25"/>
      <c r="I36" s="24"/>
    </row>
    <row r="37" customFormat="false" ht="15" hidden="false" customHeight="false" outlineLevel="0" collapsed="false">
      <c r="B37" s="29"/>
      <c r="C37" s="30" t="str">
        <f aca="false">IF(B37="","",CHOOSE(MONTH(B37),"Jan","Fev","Mar","Abr","Mai","Jun","Jul","Ago","Set","Out","Nov","Dez"))</f>
        <v/>
      </c>
      <c r="D37" s="24"/>
      <c r="E37" s="24"/>
      <c r="F37" s="31"/>
      <c r="G37" s="25"/>
      <c r="H37" s="25"/>
      <c r="I37" s="24"/>
    </row>
    <row r="38" customFormat="false" ht="15" hidden="false" customHeight="false" outlineLevel="0" collapsed="false">
      <c r="B38" s="29"/>
      <c r="C38" s="30" t="str">
        <f aca="false">IF(B38="","",CHOOSE(MONTH(B38),"Jan","Fev","Mar","Abr","Mai","Jun","Jul","Ago","Set","Out","Nov","Dez"))</f>
        <v/>
      </c>
      <c r="D38" s="24"/>
      <c r="E38" s="24"/>
      <c r="F38" s="31"/>
      <c r="G38" s="25"/>
      <c r="H38" s="25"/>
      <c r="I38" s="24"/>
    </row>
    <row r="39" customFormat="false" ht="15" hidden="false" customHeight="false" outlineLevel="0" collapsed="false">
      <c r="B39" s="29"/>
      <c r="C39" s="30" t="str">
        <f aca="false">IF(B39="","",CHOOSE(MONTH(B39),"Jan","Fev","Mar","Abr","Mai","Jun","Jul","Ago","Set","Out","Nov","Dez"))</f>
        <v/>
      </c>
      <c r="D39" s="24"/>
      <c r="E39" s="24"/>
      <c r="F39" s="31"/>
      <c r="G39" s="25"/>
      <c r="H39" s="25"/>
      <c r="I39" s="24"/>
    </row>
    <row r="40" customFormat="false" ht="15" hidden="false" customHeight="false" outlineLevel="0" collapsed="false">
      <c r="B40" s="29"/>
      <c r="C40" s="30" t="str">
        <f aca="false">IF(B40="","",CHOOSE(MONTH(B40),"Jan","Fev","Mar","Abr","Mai","Jun","Jul","Ago","Set","Out","Nov","Dez"))</f>
        <v/>
      </c>
      <c r="D40" s="24"/>
      <c r="E40" s="24"/>
      <c r="F40" s="31"/>
      <c r="G40" s="25"/>
      <c r="H40" s="25"/>
      <c r="I40" s="24"/>
    </row>
    <row r="41" customFormat="false" ht="15" hidden="false" customHeight="false" outlineLevel="0" collapsed="false">
      <c r="B41" s="29"/>
      <c r="C41" s="30" t="str">
        <f aca="false">IF(B41="","",CHOOSE(MONTH(B41),"Jan","Fev","Mar","Abr","Mai","Jun","Jul","Ago","Set","Out","Nov","Dez"))</f>
        <v/>
      </c>
      <c r="D41" s="24"/>
      <c r="E41" s="24"/>
      <c r="F41" s="31"/>
      <c r="G41" s="25"/>
      <c r="H41" s="25"/>
      <c r="I41" s="24"/>
    </row>
    <row r="42" customFormat="false" ht="15" hidden="false" customHeight="false" outlineLevel="0" collapsed="false">
      <c r="B42" s="29"/>
      <c r="C42" s="30" t="str">
        <f aca="false">IF(B42="","",CHOOSE(MONTH(B42),"Jan","Fev","Mar","Abr","Mai","Jun","Jul","Ago","Set","Out","Nov","Dez"))</f>
        <v/>
      </c>
      <c r="D42" s="24"/>
      <c r="E42" s="24"/>
      <c r="F42" s="31"/>
      <c r="G42" s="25"/>
      <c r="H42" s="25"/>
      <c r="I42" s="24"/>
    </row>
    <row r="43" customFormat="false" ht="15" hidden="false" customHeight="false" outlineLevel="0" collapsed="false">
      <c r="B43" s="29"/>
      <c r="C43" s="30" t="str">
        <f aca="false">IF(B43="","",CHOOSE(MONTH(B43),"Jan","Fev","Mar","Abr","Mai","Jun","Jul","Ago","Set","Out","Nov","Dez"))</f>
        <v/>
      </c>
      <c r="D43" s="24"/>
      <c r="E43" s="24"/>
      <c r="F43" s="31"/>
      <c r="G43" s="25"/>
      <c r="H43" s="25"/>
      <c r="I43" s="24"/>
    </row>
    <row r="44" customFormat="false" ht="15" hidden="false" customHeight="false" outlineLevel="0" collapsed="false">
      <c r="B44" s="29"/>
      <c r="C44" s="30" t="str">
        <f aca="false">IF(B44="","",CHOOSE(MONTH(B44),"Jan","Fev","Mar","Abr","Mai","Jun","Jul","Ago","Set","Out","Nov","Dez"))</f>
        <v/>
      </c>
      <c r="D44" s="24"/>
      <c r="E44" s="24"/>
      <c r="F44" s="31"/>
      <c r="G44" s="25"/>
      <c r="H44" s="25"/>
      <c r="I44" s="24"/>
    </row>
    <row r="45" customFormat="false" ht="15" hidden="false" customHeight="false" outlineLevel="0" collapsed="false">
      <c r="B45" s="29"/>
      <c r="C45" s="30" t="str">
        <f aca="false">IF(B45="","",CHOOSE(MONTH(B45),"Jan","Fev","Mar","Abr","Mai","Jun","Jul","Ago","Set","Out","Nov","Dez"))</f>
        <v/>
      </c>
      <c r="D45" s="24"/>
      <c r="E45" s="24"/>
      <c r="F45" s="31"/>
      <c r="G45" s="25"/>
      <c r="H45" s="25"/>
      <c r="I45" s="24"/>
    </row>
    <row r="46" customFormat="false" ht="15" hidden="false" customHeight="false" outlineLevel="0" collapsed="false">
      <c r="B46" s="29"/>
      <c r="C46" s="30" t="str">
        <f aca="false">IF(B46="","",CHOOSE(MONTH(B46),"Jan","Fev","Mar","Abr","Mai","Jun","Jul","Ago","Set","Out","Nov","Dez"))</f>
        <v/>
      </c>
      <c r="D46" s="24"/>
      <c r="E46" s="24"/>
      <c r="F46" s="31"/>
      <c r="G46" s="25"/>
      <c r="H46" s="25"/>
      <c r="I46" s="24"/>
    </row>
    <row r="47" customFormat="false" ht="15" hidden="false" customHeight="false" outlineLevel="0" collapsed="false">
      <c r="B47" s="29"/>
      <c r="C47" s="30" t="str">
        <f aca="false">IF(B47="","",CHOOSE(MONTH(B47),"Jan","Fev","Mar","Abr","Mai","Jun","Jul","Ago","Set","Out","Nov","Dez"))</f>
        <v/>
      </c>
      <c r="D47" s="24"/>
      <c r="E47" s="24"/>
      <c r="F47" s="31"/>
      <c r="G47" s="25"/>
      <c r="H47" s="25"/>
      <c r="I47" s="24"/>
    </row>
    <row r="48" customFormat="false" ht="15" hidden="false" customHeight="false" outlineLevel="0" collapsed="false">
      <c r="B48" s="29"/>
      <c r="C48" s="30" t="str">
        <f aca="false">IF(B48="","",CHOOSE(MONTH(B48),"Jan","Fev","Mar","Abr","Mai","Jun","Jul","Ago","Set","Out","Nov","Dez"))</f>
        <v/>
      </c>
      <c r="D48" s="24"/>
      <c r="E48" s="24"/>
      <c r="F48" s="31"/>
      <c r="G48" s="25"/>
      <c r="H48" s="25"/>
      <c r="I48" s="24"/>
    </row>
    <row r="49" customFormat="false" ht="15" hidden="false" customHeight="false" outlineLevel="0" collapsed="false">
      <c r="B49" s="29"/>
      <c r="C49" s="30" t="str">
        <f aca="false">IF(B49="","",CHOOSE(MONTH(B49),"Jan","Fev","Mar","Abr","Mai","Jun","Jul","Ago","Set","Out","Nov","Dez"))</f>
        <v/>
      </c>
      <c r="D49" s="24"/>
      <c r="E49" s="24"/>
      <c r="F49" s="31"/>
      <c r="G49" s="25"/>
      <c r="H49" s="25"/>
      <c r="I49" s="24"/>
    </row>
    <row r="50" customFormat="false" ht="15" hidden="false" customHeight="false" outlineLevel="0" collapsed="false">
      <c r="B50" s="29"/>
      <c r="C50" s="30" t="str">
        <f aca="false">IF(B50="","",CHOOSE(MONTH(B50),"Jan","Fev","Mar","Abr","Mai","Jun","Jul","Ago","Set","Out","Nov","Dez"))</f>
        <v/>
      </c>
      <c r="D50" s="24"/>
      <c r="E50" s="24"/>
      <c r="F50" s="31"/>
      <c r="G50" s="25"/>
      <c r="H50" s="25"/>
      <c r="I50" s="24"/>
    </row>
    <row r="51" customFormat="false" ht="15" hidden="false" customHeight="false" outlineLevel="0" collapsed="false">
      <c r="B51" s="29"/>
      <c r="C51" s="30" t="str">
        <f aca="false">IF(B51="","",CHOOSE(MONTH(B51),"Jan","Fev","Mar","Abr","Mai","Jun","Jul","Ago","Set","Out","Nov","Dez"))</f>
        <v/>
      </c>
      <c r="D51" s="24"/>
      <c r="E51" s="24"/>
      <c r="F51" s="31"/>
      <c r="G51" s="25"/>
      <c r="H51" s="25"/>
      <c r="I51" s="24"/>
    </row>
    <row r="52" customFormat="false" ht="15" hidden="false" customHeight="false" outlineLevel="0" collapsed="false">
      <c r="B52" s="29"/>
      <c r="C52" s="30" t="str">
        <f aca="false">IF(B52="","",CHOOSE(MONTH(B52),"Jan","Fev","Mar","Abr","Mai","Jun","Jul","Ago","Set","Out","Nov","Dez"))</f>
        <v/>
      </c>
      <c r="D52" s="24"/>
      <c r="E52" s="24"/>
      <c r="F52" s="31"/>
      <c r="G52" s="25"/>
      <c r="H52" s="25"/>
      <c r="I52" s="24"/>
    </row>
    <row r="53" customFormat="false" ht="15" hidden="false" customHeight="false" outlineLevel="0" collapsed="false">
      <c r="B53" s="29"/>
      <c r="C53" s="30" t="str">
        <f aca="false">IF(B53="","",CHOOSE(MONTH(B53),"Jan","Fev","Mar","Abr","Mai","Jun","Jul","Ago","Set","Out","Nov","Dez"))</f>
        <v/>
      </c>
      <c r="D53" s="24"/>
      <c r="E53" s="24"/>
      <c r="F53" s="31"/>
      <c r="G53" s="25"/>
      <c r="H53" s="25"/>
      <c r="I53" s="24"/>
    </row>
    <row r="54" customFormat="false" ht="15" hidden="false" customHeight="false" outlineLevel="0" collapsed="false">
      <c r="B54" s="29"/>
      <c r="C54" s="30" t="str">
        <f aca="false">IF(B54="","",CHOOSE(MONTH(B54),"Jan","Fev","Mar","Abr","Mai","Jun","Jul","Ago","Set","Out","Nov","Dez"))</f>
        <v/>
      </c>
      <c r="D54" s="24"/>
      <c r="E54" s="24"/>
      <c r="F54" s="31"/>
      <c r="G54" s="25"/>
      <c r="H54" s="25"/>
      <c r="I54" s="24"/>
    </row>
    <row r="55" customFormat="false" ht="15" hidden="false" customHeight="false" outlineLevel="0" collapsed="false">
      <c r="B55" s="29"/>
      <c r="C55" s="30" t="str">
        <f aca="false">IF(B55="","",CHOOSE(MONTH(B55),"Jan","Fev","Mar","Abr","Mai","Jun","Jul","Ago","Set","Out","Nov","Dez"))</f>
        <v/>
      </c>
      <c r="D55" s="24"/>
      <c r="E55" s="24"/>
      <c r="F55" s="31"/>
      <c r="G55" s="25"/>
      <c r="H55" s="25"/>
      <c r="I55" s="24"/>
    </row>
    <row r="56" customFormat="false" ht="15" hidden="false" customHeight="false" outlineLevel="0" collapsed="false">
      <c r="B56" s="29"/>
      <c r="C56" s="30" t="str">
        <f aca="false">IF(B56="","",CHOOSE(MONTH(B56),"Jan","Fev","Mar","Abr","Mai","Jun","Jul","Ago","Set","Out","Nov","Dez"))</f>
        <v/>
      </c>
      <c r="D56" s="24"/>
      <c r="E56" s="24"/>
      <c r="F56" s="31"/>
      <c r="G56" s="25"/>
      <c r="H56" s="25"/>
      <c r="I56" s="24"/>
    </row>
    <row r="57" customFormat="false" ht="15" hidden="false" customHeight="false" outlineLevel="0" collapsed="false">
      <c r="B57" s="29"/>
      <c r="C57" s="30" t="str">
        <f aca="false">IF(B57="","",CHOOSE(MONTH(B57),"Jan","Fev","Mar","Abr","Mai","Jun","Jul","Ago","Set","Out","Nov","Dez"))</f>
        <v/>
      </c>
      <c r="D57" s="24"/>
      <c r="E57" s="24"/>
      <c r="F57" s="31"/>
      <c r="G57" s="25"/>
      <c r="H57" s="25"/>
      <c r="I57" s="24"/>
    </row>
    <row r="58" customFormat="false" ht="15" hidden="false" customHeight="false" outlineLevel="0" collapsed="false">
      <c r="B58" s="29"/>
      <c r="C58" s="30" t="str">
        <f aca="false">IF(B58="","",CHOOSE(MONTH(B58),"Jan","Fev","Mar","Abr","Mai","Jun","Jul","Ago","Set","Out","Nov","Dez"))</f>
        <v/>
      </c>
      <c r="D58" s="24"/>
      <c r="E58" s="24"/>
      <c r="F58" s="31"/>
      <c r="G58" s="25"/>
      <c r="H58" s="25"/>
      <c r="I58" s="24"/>
    </row>
    <row r="59" customFormat="false" ht="15" hidden="false" customHeight="false" outlineLevel="0" collapsed="false">
      <c r="B59" s="29"/>
      <c r="C59" s="30" t="str">
        <f aca="false">IF(B59="","",CHOOSE(MONTH(B59),"Jan","Fev","Mar","Abr","Mai","Jun","Jul","Ago","Set","Out","Nov","Dez"))</f>
        <v/>
      </c>
      <c r="D59" s="24"/>
      <c r="E59" s="24"/>
      <c r="F59" s="31"/>
      <c r="G59" s="25"/>
      <c r="H59" s="25"/>
      <c r="I59" s="24"/>
    </row>
    <row r="60" customFormat="false" ht="15" hidden="false" customHeight="false" outlineLevel="0" collapsed="false">
      <c r="B60" s="29"/>
      <c r="C60" s="30" t="str">
        <f aca="false">IF(B60="","",CHOOSE(MONTH(B60),"Jan","Fev","Mar","Abr","Mai","Jun","Jul","Ago","Set","Out","Nov","Dez"))</f>
        <v/>
      </c>
      <c r="D60" s="24"/>
      <c r="E60" s="24"/>
      <c r="F60" s="31"/>
      <c r="G60" s="25"/>
      <c r="H60" s="25"/>
      <c r="I60" s="24"/>
    </row>
    <row r="61" customFormat="false" ht="15" hidden="false" customHeight="false" outlineLevel="0" collapsed="false">
      <c r="B61" s="29"/>
      <c r="C61" s="30" t="str">
        <f aca="false">IF(B61="","",CHOOSE(MONTH(B61),"Jan","Fev","Mar","Abr","Mai","Jun","Jul","Ago","Set","Out","Nov","Dez"))</f>
        <v/>
      </c>
      <c r="D61" s="24"/>
      <c r="E61" s="24"/>
      <c r="F61" s="31"/>
      <c r="G61" s="25"/>
      <c r="H61" s="25"/>
      <c r="I61" s="24"/>
    </row>
    <row r="62" customFormat="false" ht="15" hidden="false" customHeight="false" outlineLevel="0" collapsed="false">
      <c r="B62" s="29"/>
      <c r="C62" s="30" t="str">
        <f aca="false">IF(B62="","",CHOOSE(MONTH(B62),"Jan","Fev","Mar","Abr","Mai","Jun","Jul","Ago","Set","Out","Nov","Dez"))</f>
        <v/>
      </c>
      <c r="D62" s="24"/>
      <c r="E62" s="24"/>
      <c r="F62" s="31"/>
      <c r="G62" s="25"/>
      <c r="H62" s="25"/>
      <c r="I62" s="24"/>
    </row>
    <row r="63" customFormat="false" ht="15" hidden="false" customHeight="false" outlineLevel="0" collapsed="false">
      <c r="B63" s="29"/>
      <c r="C63" s="30" t="str">
        <f aca="false">IF(B63="","",CHOOSE(MONTH(B63),"Jan","Fev","Mar","Abr","Mai","Jun","Jul","Ago","Set","Out","Nov","Dez"))</f>
        <v/>
      </c>
      <c r="D63" s="24"/>
      <c r="E63" s="24"/>
      <c r="F63" s="31"/>
      <c r="G63" s="25"/>
      <c r="H63" s="25"/>
      <c r="I63" s="24"/>
    </row>
    <row r="64" customFormat="false" ht="15" hidden="false" customHeight="false" outlineLevel="0" collapsed="false">
      <c r="B64" s="29"/>
      <c r="C64" s="30" t="str">
        <f aca="false">IF(B64="","",CHOOSE(MONTH(B64),"Jan","Fev","Mar","Abr","Mai","Jun","Jul","Ago","Set","Out","Nov","Dez"))</f>
        <v/>
      </c>
      <c r="D64" s="24"/>
      <c r="E64" s="24"/>
      <c r="F64" s="31"/>
      <c r="G64" s="25"/>
      <c r="H64" s="25"/>
      <c r="I64" s="24"/>
    </row>
    <row r="65" customFormat="false" ht="15" hidden="false" customHeight="false" outlineLevel="0" collapsed="false">
      <c r="B65" s="29"/>
      <c r="C65" s="30" t="str">
        <f aca="false">IF(B65="","",CHOOSE(MONTH(B65),"Jan","Fev","Mar","Abr","Mai","Jun","Jul","Ago","Set","Out","Nov","Dez"))</f>
        <v/>
      </c>
      <c r="D65" s="24"/>
      <c r="E65" s="24"/>
      <c r="F65" s="31"/>
      <c r="G65" s="25"/>
      <c r="H65" s="25"/>
      <c r="I65" s="24"/>
    </row>
    <row r="66" customFormat="false" ht="15" hidden="false" customHeight="false" outlineLevel="0" collapsed="false">
      <c r="B66" s="29"/>
      <c r="C66" s="30" t="str">
        <f aca="false">IF(B66="","",CHOOSE(MONTH(B66),"Jan","Fev","Mar","Abr","Mai","Jun","Jul","Ago","Set","Out","Nov","Dez"))</f>
        <v/>
      </c>
      <c r="D66" s="24"/>
      <c r="E66" s="24"/>
      <c r="F66" s="31"/>
      <c r="G66" s="25"/>
      <c r="H66" s="25"/>
      <c r="I66" s="24"/>
    </row>
    <row r="67" customFormat="false" ht="15" hidden="false" customHeight="false" outlineLevel="0" collapsed="false">
      <c r="B67" s="29"/>
      <c r="C67" s="30" t="str">
        <f aca="false">IF(B67="","",CHOOSE(MONTH(B67),"Jan","Fev","Mar","Abr","Mai","Jun","Jul","Ago","Set","Out","Nov","Dez"))</f>
        <v/>
      </c>
      <c r="D67" s="24"/>
      <c r="E67" s="24"/>
      <c r="F67" s="31"/>
      <c r="G67" s="25"/>
      <c r="H67" s="25"/>
      <c r="I67" s="24"/>
    </row>
    <row r="68" customFormat="false" ht="15" hidden="false" customHeight="false" outlineLevel="0" collapsed="false">
      <c r="F68" s="27" t="s">
        <v>73</v>
      </c>
      <c r="G68" s="28" t="n">
        <f aca="false">SUM(G8:G67)</f>
        <v>23450</v>
      </c>
      <c r="H68" s="28" t="n">
        <f aca="false">SUM(H8:H67)</f>
        <v>1135.8</v>
      </c>
    </row>
  </sheetData>
  <mergeCells count="2">
    <mergeCell ref="B2:J2"/>
    <mergeCell ref="B3:J3"/>
  </mergeCells>
  <dataValidations count="3">
    <dataValidation allowBlank="false" error="Digite um valor positivo." errorStyle="stop" errorTitle="Valor inválido" operator="greaterThanOrEqual" showDropDown="false" showErrorMessage="true" showInputMessage="false" sqref="G8:H67" type="decimal">
      <formula1>0</formula1>
      <formula2>0</formula2>
    </dataValidation>
    <dataValidation allowBlank="false" error="Digite uma data (dd/mm/aaaa)." errorStyle="stop" errorTitle="Data inválida" operator="between" showDropDown="false" showErrorMessage="true" showInputMessage="false" sqref="B8:B67" type="date">
      <formula1>DATE(2000,1,1)</formula1>
      <formula2>DATE(2100,12,31)</formula2>
    </dataValidation>
    <dataValidation allowBlank="false" error="Escolha a categoria na lista." errorStyle="stop" errorTitle="Categoria inválida" operator="between" showDropDown="false" showErrorMessage="true" showInputMessage="false" sqref="D8:D67" type="list">
      <formula1>lista_categorias</formula1>
      <formula2>0</formula2>
    </dataValidation>
  </dataValidations>
  <hyperlinks>
    <hyperlink ref="B5" location="'MENU'!A1" display="◀ 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998B"/>
    <pageSetUpPr fitToPage="true"/>
  </sheetPr>
  <dimension ref="B2:J5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6"/>
    <col collapsed="false" customWidth="true" hidden="false" outlineLevel="0" max="10" min="10" style="0" width="4"/>
  </cols>
  <sheetData>
    <row r="2" customFormat="false" ht="31.5" hidden="false" customHeight="true" outlineLevel="0" collapsed="false">
      <c r="B2" s="1" t="s">
        <v>8</v>
      </c>
      <c r="C2" s="1"/>
      <c r="D2" s="1"/>
      <c r="E2" s="1"/>
      <c r="F2" s="1"/>
      <c r="G2" s="1"/>
      <c r="H2" s="1"/>
      <c r="I2" s="1"/>
      <c r="J2" s="1"/>
    </row>
    <row r="3" customFormat="false" ht="19.5" hidden="false" customHeight="true" outlineLevel="0" collapsed="false">
      <c r="B3" s="2" t="s">
        <v>96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8" t="s">
        <v>21</v>
      </c>
      <c r="E5" s="9" t="s">
        <v>22</v>
      </c>
      <c r="F5" s="10" t="s">
        <v>23</v>
      </c>
    </row>
    <row r="7" customFormat="false" ht="30" hidden="false" customHeight="true" outlineLevel="0" collapsed="false">
      <c r="B7" s="22" t="s">
        <v>77</v>
      </c>
      <c r="C7" s="22" t="s">
        <v>97</v>
      </c>
      <c r="D7" s="22" t="s">
        <v>98</v>
      </c>
      <c r="E7" s="22" t="s">
        <v>99</v>
      </c>
      <c r="F7" s="22" t="s">
        <v>100</v>
      </c>
      <c r="G7" s="22" t="s">
        <v>101</v>
      </c>
      <c r="H7" s="22" t="s">
        <v>102</v>
      </c>
      <c r="I7" s="22" t="s">
        <v>103</v>
      </c>
    </row>
    <row r="8" customFormat="false" ht="15" hidden="false" customHeight="false" outlineLevel="0" collapsed="false">
      <c r="B8" s="29" t="n">
        <v>45698</v>
      </c>
      <c r="C8" s="24" t="s">
        <v>104</v>
      </c>
      <c r="D8" s="24" t="s">
        <v>105</v>
      </c>
      <c r="E8" s="24" t="s">
        <v>106</v>
      </c>
      <c r="F8" s="31" t="s">
        <v>87</v>
      </c>
      <c r="G8" s="25" t="n">
        <v>350</v>
      </c>
      <c r="H8" s="26" t="s">
        <v>66</v>
      </c>
      <c r="I8" s="24" t="s">
        <v>107</v>
      </c>
    </row>
    <row r="9" customFormat="false" ht="15" hidden="false" customHeight="false" outlineLevel="0" collapsed="false">
      <c r="B9" s="29" t="n">
        <v>45717</v>
      </c>
      <c r="C9" s="24" t="s">
        <v>108</v>
      </c>
      <c r="D9" s="24" t="s">
        <v>109</v>
      </c>
      <c r="E9" s="24" t="s">
        <v>110</v>
      </c>
      <c r="F9" s="31" t="s">
        <v>87</v>
      </c>
      <c r="G9" s="25" t="n">
        <v>980</v>
      </c>
      <c r="H9" s="26" t="s">
        <v>66</v>
      </c>
      <c r="I9" s="24" t="s">
        <v>111</v>
      </c>
    </row>
    <row r="10" customFormat="false" ht="15" hidden="false" customHeight="false" outlineLevel="0" collapsed="false">
      <c r="B10" s="29" t="n">
        <v>45738</v>
      </c>
      <c r="C10" s="24" t="s">
        <v>104</v>
      </c>
      <c r="D10" s="24" t="s">
        <v>109</v>
      </c>
      <c r="E10" s="24" t="s">
        <v>112</v>
      </c>
      <c r="F10" s="31" t="s">
        <v>90</v>
      </c>
      <c r="G10" s="25" t="n">
        <v>600</v>
      </c>
      <c r="H10" s="26" t="s">
        <v>46</v>
      </c>
      <c r="I10" s="24"/>
    </row>
    <row r="11" customFormat="false" ht="15" hidden="false" customHeight="false" outlineLevel="0" collapsed="false">
      <c r="B11" s="29" t="n">
        <v>45792</v>
      </c>
      <c r="C11" s="24" t="s">
        <v>113</v>
      </c>
      <c r="D11" s="24" t="s">
        <v>105</v>
      </c>
      <c r="E11" s="24" t="s">
        <v>114</v>
      </c>
      <c r="F11" s="31" t="s">
        <v>87</v>
      </c>
      <c r="G11" s="25" t="n">
        <v>400</v>
      </c>
      <c r="H11" s="26" t="s">
        <v>66</v>
      </c>
      <c r="I11" s="24" t="s">
        <v>115</v>
      </c>
    </row>
    <row r="12" customFormat="false" ht="15" hidden="false" customHeight="false" outlineLevel="0" collapsed="false">
      <c r="B12" s="29"/>
      <c r="C12" s="24"/>
      <c r="D12" s="24"/>
      <c r="E12" s="24"/>
      <c r="F12" s="31"/>
      <c r="G12" s="25"/>
      <c r="H12" s="26"/>
      <c r="I12" s="24"/>
    </row>
    <row r="13" customFormat="false" ht="15" hidden="false" customHeight="false" outlineLevel="0" collapsed="false">
      <c r="B13" s="29"/>
      <c r="C13" s="24"/>
      <c r="D13" s="24"/>
      <c r="E13" s="24"/>
      <c r="F13" s="31"/>
      <c r="G13" s="25"/>
      <c r="H13" s="26"/>
      <c r="I13" s="24"/>
    </row>
    <row r="14" customFormat="false" ht="15" hidden="false" customHeight="false" outlineLevel="0" collapsed="false">
      <c r="B14" s="29"/>
      <c r="C14" s="24"/>
      <c r="D14" s="24"/>
      <c r="E14" s="24"/>
      <c r="F14" s="31"/>
      <c r="G14" s="25"/>
      <c r="H14" s="26"/>
      <c r="I14" s="24"/>
    </row>
    <row r="15" customFormat="false" ht="15" hidden="false" customHeight="false" outlineLevel="0" collapsed="false">
      <c r="B15" s="29"/>
      <c r="C15" s="24"/>
      <c r="D15" s="24"/>
      <c r="E15" s="24"/>
      <c r="F15" s="31"/>
      <c r="G15" s="25"/>
      <c r="H15" s="26"/>
      <c r="I15" s="24"/>
    </row>
    <row r="16" customFormat="false" ht="15" hidden="false" customHeight="false" outlineLevel="0" collapsed="false">
      <c r="B16" s="29"/>
      <c r="C16" s="24"/>
      <c r="D16" s="24"/>
      <c r="E16" s="24"/>
      <c r="F16" s="31"/>
      <c r="G16" s="25"/>
      <c r="H16" s="26"/>
      <c r="I16" s="24"/>
    </row>
    <row r="17" customFormat="false" ht="15" hidden="false" customHeight="false" outlineLevel="0" collapsed="false">
      <c r="B17" s="29"/>
      <c r="C17" s="24"/>
      <c r="D17" s="24"/>
      <c r="E17" s="24"/>
      <c r="F17" s="31"/>
      <c r="G17" s="25"/>
      <c r="H17" s="26"/>
      <c r="I17" s="24"/>
    </row>
    <row r="18" customFormat="false" ht="15" hidden="false" customHeight="false" outlineLevel="0" collapsed="false">
      <c r="B18" s="29"/>
      <c r="C18" s="24"/>
      <c r="D18" s="24"/>
      <c r="E18" s="24"/>
      <c r="F18" s="31"/>
      <c r="G18" s="25"/>
      <c r="H18" s="26"/>
      <c r="I18" s="24"/>
    </row>
    <row r="19" customFormat="false" ht="15" hidden="false" customHeight="false" outlineLevel="0" collapsed="false">
      <c r="B19" s="29"/>
      <c r="C19" s="24"/>
      <c r="D19" s="24"/>
      <c r="E19" s="24"/>
      <c r="F19" s="31"/>
      <c r="G19" s="25"/>
      <c r="H19" s="26"/>
      <c r="I19" s="24"/>
    </row>
    <row r="20" customFormat="false" ht="15" hidden="false" customHeight="false" outlineLevel="0" collapsed="false">
      <c r="B20" s="29"/>
      <c r="C20" s="24"/>
      <c r="D20" s="24"/>
      <c r="E20" s="24"/>
      <c r="F20" s="31"/>
      <c r="G20" s="25"/>
      <c r="H20" s="26"/>
      <c r="I20" s="24"/>
    </row>
    <row r="21" customFormat="false" ht="15" hidden="false" customHeight="false" outlineLevel="0" collapsed="false">
      <c r="B21" s="29"/>
      <c r="C21" s="24"/>
      <c r="D21" s="24"/>
      <c r="E21" s="24"/>
      <c r="F21" s="31"/>
      <c r="G21" s="25"/>
      <c r="H21" s="26"/>
      <c r="I21" s="24"/>
    </row>
    <row r="22" customFormat="false" ht="15" hidden="false" customHeight="false" outlineLevel="0" collapsed="false">
      <c r="B22" s="29"/>
      <c r="C22" s="24"/>
      <c r="D22" s="24"/>
      <c r="E22" s="24"/>
      <c r="F22" s="31"/>
      <c r="G22" s="25"/>
      <c r="H22" s="26"/>
      <c r="I22" s="24"/>
    </row>
    <row r="23" customFormat="false" ht="15" hidden="false" customHeight="false" outlineLevel="0" collapsed="false">
      <c r="B23" s="29"/>
      <c r="C23" s="24"/>
      <c r="D23" s="24"/>
      <c r="E23" s="24"/>
      <c r="F23" s="31"/>
      <c r="G23" s="25"/>
      <c r="H23" s="26"/>
      <c r="I23" s="24"/>
    </row>
    <row r="24" customFormat="false" ht="15" hidden="false" customHeight="false" outlineLevel="0" collapsed="false">
      <c r="B24" s="29"/>
      <c r="C24" s="24"/>
      <c r="D24" s="24"/>
      <c r="E24" s="24"/>
      <c r="F24" s="31"/>
      <c r="G24" s="25"/>
      <c r="H24" s="26"/>
      <c r="I24" s="24"/>
    </row>
    <row r="25" customFormat="false" ht="15" hidden="false" customHeight="false" outlineLevel="0" collapsed="false">
      <c r="B25" s="29"/>
      <c r="C25" s="24"/>
      <c r="D25" s="24"/>
      <c r="E25" s="24"/>
      <c r="F25" s="31"/>
      <c r="G25" s="25"/>
      <c r="H25" s="26"/>
      <c r="I25" s="24"/>
    </row>
    <row r="26" customFormat="false" ht="15" hidden="false" customHeight="false" outlineLevel="0" collapsed="false">
      <c r="B26" s="29"/>
      <c r="C26" s="24"/>
      <c r="D26" s="24"/>
      <c r="E26" s="24"/>
      <c r="F26" s="31"/>
      <c r="G26" s="25"/>
      <c r="H26" s="26"/>
      <c r="I26" s="24"/>
    </row>
    <row r="27" customFormat="false" ht="15" hidden="false" customHeight="false" outlineLevel="0" collapsed="false">
      <c r="B27" s="29"/>
      <c r="C27" s="24"/>
      <c r="D27" s="24"/>
      <c r="E27" s="24"/>
      <c r="F27" s="31"/>
      <c r="G27" s="25"/>
      <c r="H27" s="26"/>
      <c r="I27" s="24"/>
    </row>
    <row r="28" customFormat="false" ht="15" hidden="false" customHeight="false" outlineLevel="0" collapsed="false">
      <c r="B28" s="29"/>
      <c r="C28" s="24"/>
      <c r="D28" s="24"/>
      <c r="E28" s="24"/>
      <c r="F28" s="31"/>
      <c r="G28" s="25"/>
      <c r="H28" s="26"/>
      <c r="I28" s="24"/>
    </row>
    <row r="29" customFormat="false" ht="15" hidden="false" customHeight="false" outlineLevel="0" collapsed="false">
      <c r="B29" s="29"/>
      <c r="C29" s="24"/>
      <c r="D29" s="24"/>
      <c r="E29" s="24"/>
      <c r="F29" s="31"/>
      <c r="G29" s="25"/>
      <c r="H29" s="26"/>
      <c r="I29" s="24"/>
    </row>
    <row r="30" customFormat="false" ht="15" hidden="false" customHeight="false" outlineLevel="0" collapsed="false">
      <c r="B30" s="29"/>
      <c r="C30" s="24"/>
      <c r="D30" s="24"/>
      <c r="E30" s="24"/>
      <c r="F30" s="31"/>
      <c r="G30" s="25"/>
      <c r="H30" s="26"/>
      <c r="I30" s="24"/>
    </row>
    <row r="31" customFormat="false" ht="15" hidden="false" customHeight="false" outlineLevel="0" collapsed="false">
      <c r="B31" s="29"/>
      <c r="C31" s="24"/>
      <c r="D31" s="24"/>
      <c r="E31" s="24"/>
      <c r="F31" s="31"/>
      <c r="G31" s="25"/>
      <c r="H31" s="26"/>
      <c r="I31" s="24"/>
    </row>
    <row r="32" customFormat="false" ht="15" hidden="false" customHeight="false" outlineLevel="0" collapsed="false">
      <c r="B32" s="29"/>
      <c r="C32" s="24"/>
      <c r="D32" s="24"/>
      <c r="E32" s="24"/>
      <c r="F32" s="31"/>
      <c r="G32" s="25"/>
      <c r="H32" s="26"/>
      <c r="I32" s="24"/>
    </row>
    <row r="33" customFormat="false" ht="15" hidden="false" customHeight="false" outlineLevel="0" collapsed="false">
      <c r="B33" s="29"/>
      <c r="C33" s="24"/>
      <c r="D33" s="24"/>
      <c r="E33" s="24"/>
      <c r="F33" s="31"/>
      <c r="G33" s="25"/>
      <c r="H33" s="26"/>
      <c r="I33" s="24"/>
    </row>
    <row r="34" customFormat="false" ht="15" hidden="false" customHeight="false" outlineLevel="0" collapsed="false">
      <c r="B34" s="29"/>
      <c r="C34" s="24"/>
      <c r="D34" s="24"/>
      <c r="E34" s="24"/>
      <c r="F34" s="31"/>
      <c r="G34" s="25"/>
      <c r="H34" s="26"/>
      <c r="I34" s="24"/>
    </row>
    <row r="35" customFormat="false" ht="15" hidden="false" customHeight="false" outlineLevel="0" collapsed="false">
      <c r="B35" s="29"/>
      <c r="C35" s="24"/>
      <c r="D35" s="24"/>
      <c r="E35" s="24"/>
      <c r="F35" s="31"/>
      <c r="G35" s="25"/>
      <c r="H35" s="26"/>
      <c r="I35" s="24"/>
    </row>
    <row r="36" customFormat="false" ht="15" hidden="false" customHeight="false" outlineLevel="0" collapsed="false">
      <c r="B36" s="29"/>
      <c r="C36" s="24"/>
      <c r="D36" s="24"/>
      <c r="E36" s="24"/>
      <c r="F36" s="31"/>
      <c r="G36" s="25"/>
      <c r="H36" s="26"/>
      <c r="I36" s="24"/>
    </row>
    <row r="37" customFormat="false" ht="15" hidden="false" customHeight="false" outlineLevel="0" collapsed="false">
      <c r="B37" s="29"/>
      <c r="C37" s="24"/>
      <c r="D37" s="24"/>
      <c r="E37" s="24"/>
      <c r="F37" s="31"/>
      <c r="G37" s="25"/>
      <c r="H37" s="26"/>
      <c r="I37" s="24"/>
    </row>
    <row r="38" customFormat="false" ht="15" hidden="false" customHeight="false" outlineLevel="0" collapsed="false">
      <c r="B38" s="29"/>
      <c r="C38" s="24"/>
      <c r="D38" s="24"/>
      <c r="E38" s="24"/>
      <c r="F38" s="31"/>
      <c r="G38" s="25"/>
      <c r="H38" s="26"/>
      <c r="I38" s="24"/>
    </row>
    <row r="39" customFormat="false" ht="15" hidden="false" customHeight="false" outlineLevel="0" collapsed="false">
      <c r="B39" s="29"/>
      <c r="C39" s="24"/>
      <c r="D39" s="24"/>
      <c r="E39" s="24"/>
      <c r="F39" s="31"/>
      <c r="G39" s="25"/>
      <c r="H39" s="26"/>
      <c r="I39" s="24"/>
    </row>
    <row r="40" customFormat="false" ht="15" hidden="false" customHeight="false" outlineLevel="0" collapsed="false">
      <c r="B40" s="29"/>
      <c r="C40" s="24"/>
      <c r="D40" s="24"/>
      <c r="E40" s="24"/>
      <c r="F40" s="31"/>
      <c r="G40" s="25"/>
      <c r="H40" s="26"/>
      <c r="I40" s="24"/>
    </row>
    <row r="41" customFormat="false" ht="15" hidden="false" customHeight="false" outlineLevel="0" collapsed="false">
      <c r="B41" s="29"/>
      <c r="C41" s="24"/>
      <c r="D41" s="24"/>
      <c r="E41" s="24"/>
      <c r="F41" s="31"/>
      <c r="G41" s="25"/>
      <c r="H41" s="26"/>
      <c r="I41" s="24"/>
    </row>
    <row r="42" customFormat="false" ht="15" hidden="false" customHeight="false" outlineLevel="0" collapsed="false">
      <c r="B42" s="29"/>
      <c r="C42" s="24"/>
      <c r="D42" s="24"/>
      <c r="E42" s="24"/>
      <c r="F42" s="31"/>
      <c r="G42" s="25"/>
      <c r="H42" s="26"/>
      <c r="I42" s="24"/>
    </row>
    <row r="43" customFormat="false" ht="15" hidden="false" customHeight="false" outlineLevel="0" collapsed="false">
      <c r="B43" s="29"/>
      <c r="C43" s="24"/>
      <c r="D43" s="24"/>
      <c r="E43" s="24"/>
      <c r="F43" s="31"/>
      <c r="G43" s="25"/>
      <c r="H43" s="26"/>
      <c r="I43" s="24"/>
    </row>
    <row r="44" customFormat="false" ht="15" hidden="false" customHeight="false" outlineLevel="0" collapsed="false">
      <c r="B44" s="29"/>
      <c r="C44" s="24"/>
      <c r="D44" s="24"/>
      <c r="E44" s="24"/>
      <c r="F44" s="31"/>
      <c r="G44" s="25"/>
      <c r="H44" s="26"/>
      <c r="I44" s="24"/>
    </row>
    <row r="45" customFormat="false" ht="15" hidden="false" customHeight="false" outlineLevel="0" collapsed="false">
      <c r="B45" s="29"/>
      <c r="C45" s="24"/>
      <c r="D45" s="24"/>
      <c r="E45" s="24"/>
      <c r="F45" s="31"/>
      <c r="G45" s="25"/>
      <c r="H45" s="26"/>
      <c r="I45" s="24"/>
    </row>
    <row r="46" customFormat="false" ht="15" hidden="false" customHeight="false" outlineLevel="0" collapsed="false">
      <c r="B46" s="29"/>
      <c r="C46" s="24"/>
      <c r="D46" s="24"/>
      <c r="E46" s="24"/>
      <c r="F46" s="31"/>
      <c r="G46" s="25"/>
      <c r="H46" s="26"/>
      <c r="I46" s="24"/>
    </row>
    <row r="47" customFormat="false" ht="15" hidden="false" customHeight="false" outlineLevel="0" collapsed="false">
      <c r="B47" s="29"/>
      <c r="C47" s="24"/>
      <c r="D47" s="24"/>
      <c r="E47" s="24"/>
      <c r="F47" s="31"/>
      <c r="G47" s="25"/>
      <c r="H47" s="26"/>
      <c r="I47" s="24"/>
    </row>
    <row r="48" customFormat="false" ht="15" hidden="false" customHeight="false" outlineLevel="0" collapsed="false">
      <c r="F48" s="27" t="s">
        <v>73</v>
      </c>
      <c r="G48" s="28" t="n">
        <f aca="false">SUM(G8:G47)</f>
        <v>2330</v>
      </c>
    </row>
    <row r="50" customFormat="false" ht="15" hidden="false" customHeight="false" outlineLevel="0" collapsed="false">
      <c r="B50" s="7" t="s">
        <v>116</v>
      </c>
    </row>
  </sheetData>
  <mergeCells count="2">
    <mergeCell ref="B2:J2"/>
    <mergeCell ref="B3:J3"/>
  </mergeCells>
  <conditionalFormatting sqref="H8:H47">
    <cfRule type="cellIs" priority="2" operator="equal" aboveAverage="0" equalAverage="0" bottom="0" percent="0" rank="0" text="" dxfId="0">
      <formula>"NÃO"</formula>
    </cfRule>
    <cfRule type="cellIs" priority="3" operator="equal" aboveAverage="0" equalAverage="0" bottom="0" percent="0" rank="0" text="" dxfId="1">
      <formula>"SIM"</formula>
    </cfRule>
  </conditionalFormatting>
  <dataValidations count="5">
    <dataValidation allowBlank="false" error="Digite um valor positivo." errorStyle="stop" errorTitle="Valor inválido" operator="greaterThanOrEqual" showDropDown="false" showErrorMessage="true" showInputMessage="false" sqref="G8:G47" type="decimal">
      <formula1>0</formula1>
      <formula2>0</formula2>
    </dataValidation>
    <dataValidation allowBlank="false" error="Digite uma data (dd/mm/aaaa)." errorStyle="stop" errorTitle="Data inválida" operator="between" showDropDown="false" showErrorMessage="true" showInputMessage="false" sqref="B8:B47" type="date">
      <formula1>DATE(2000,1,1)</formula1>
      <formula2>DATE(2100,12,31)</formula2>
    </dataValidation>
    <dataValidation allowBlank="false" error="Escolha o tipo na lista." errorStyle="stop" errorTitle="Tipo inválido" operator="between" showDropDown="false" showErrorMessage="true" showInputMessage="false" sqref="C8:C47" type="list">
      <formula1>lista_deducoes</formula1>
      <formula2>0</formula2>
    </dataValidation>
    <dataValidation allowBlank="false" error="Escolha na lista." errorStyle="stop" errorTitle="Valor inválido" operator="between" showDropDown="false" showErrorMessage="true" showInputMessage="false" sqref="D8:D47" type="list">
      <formula1>lista_beneficiario</formula1>
      <formula2>0</formula2>
    </dataValidation>
    <dataValidation allowBlank="false" error="Escolha SIM ou NÃO." errorStyle="stop" errorTitle="Valor inválido" operator="between" showDropDown="false" showErrorMessage="true" showInputMessage="false" sqref="H8:H47" type="list">
      <formula1>lista_sim_nao</formula1>
      <formula2>0</formula2>
    </dataValidation>
  </dataValidations>
  <hyperlinks>
    <hyperlink ref="B5" location="'MENU'!A1" display="◀ 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942"/>
    <pageSetUpPr fitToPage="true"/>
  </sheetPr>
  <dimension ref="B2:H42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8" min="7" style="0" width="4"/>
  </cols>
  <sheetData>
    <row r="2" customFormat="false" ht="31.5" hidden="false" customHeight="true" outlineLevel="0" collapsed="false">
      <c r="B2" s="1" t="s">
        <v>11</v>
      </c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B3" s="2" t="s">
        <v>117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8" t="s">
        <v>21</v>
      </c>
    </row>
    <row r="7" customFormat="false" ht="15" hidden="false" customHeight="false" outlineLevel="0" collapsed="false">
      <c r="B7" s="32" t="s">
        <v>118</v>
      </c>
    </row>
    <row r="8" customFormat="false" ht="15" hidden="false" customHeight="false" outlineLevel="0" collapsed="false">
      <c r="B8" s="33" t="s">
        <v>119</v>
      </c>
      <c r="C8" s="20" t="str">
        <f aca="false">TITULAR!D7</f>
        <v>MARIA EXEMPLO DA SILVA</v>
      </c>
    </row>
    <row r="9" customFormat="false" ht="15" hidden="false" customHeight="false" outlineLevel="0" collapsed="false">
      <c r="B9" s="33" t="s">
        <v>120</v>
      </c>
      <c r="C9" s="34" t="n">
        <f aca="false">TITULAR!D8</f>
        <v>12345678909</v>
      </c>
    </row>
    <row r="11" customFormat="false" ht="15" hidden="false" customHeight="false" outlineLevel="0" collapsed="false">
      <c r="B11" s="32" t="s">
        <v>121</v>
      </c>
    </row>
    <row r="12" customFormat="false" ht="30" hidden="false" customHeight="true" outlineLevel="0" collapsed="false">
      <c r="B12" s="22" t="s">
        <v>79</v>
      </c>
      <c r="C12" s="22" t="s">
        <v>122</v>
      </c>
      <c r="E12" s="32" t="s">
        <v>123</v>
      </c>
    </row>
    <row r="13" customFormat="false" ht="15" hidden="false" customHeight="false" outlineLevel="0" collapsed="false">
      <c r="B13" s="33" t="s">
        <v>85</v>
      </c>
      <c r="C13" s="35" t="n">
        <f aca="false">SUMIF(NOTAS!$D$8:$D$67,B13,NOTAS!$G$8:$G$67)</f>
        <v>21450</v>
      </c>
      <c r="E13" s="33" t="s">
        <v>124</v>
      </c>
      <c r="F13" s="35" t="n">
        <f aca="false">INFORMES!E20</f>
        <v>10460</v>
      </c>
    </row>
    <row r="14" customFormat="false" ht="15" hidden="false" customHeight="false" outlineLevel="0" collapsed="false">
      <c r="B14" s="33" t="s">
        <v>125</v>
      </c>
      <c r="C14" s="35" t="n">
        <f aca="false">SUMIF(NOTAS!$D$8:$D$67,B14,NOTAS!$G$8:$G$67)</f>
        <v>0</v>
      </c>
      <c r="E14" s="33" t="s">
        <v>126</v>
      </c>
      <c r="F14" s="35" t="n">
        <f aca="false">INFORMES!F20</f>
        <v>12856.85</v>
      </c>
    </row>
    <row r="15" customFormat="false" ht="15" hidden="false" customHeight="false" outlineLevel="0" collapsed="false">
      <c r="B15" s="33" t="s">
        <v>88</v>
      </c>
      <c r="C15" s="35" t="n">
        <f aca="false">SUMIF(NOTAS!$D$8:$D$67,B15,NOTAS!$G$8:$G$67)</f>
        <v>800</v>
      </c>
      <c r="E15" s="33" t="s">
        <v>127</v>
      </c>
      <c r="F15" s="35" t="n">
        <f aca="false">INFORMES!G20</f>
        <v>736.1</v>
      </c>
    </row>
    <row r="16" customFormat="false" ht="15" hidden="false" customHeight="false" outlineLevel="0" collapsed="false">
      <c r="B16" s="33" t="s">
        <v>93</v>
      </c>
      <c r="C16" s="35" t="n">
        <f aca="false">SUMIF(NOTAS!$D$8:$D$67,B16,NOTAS!$G$8:$G$67)</f>
        <v>1200</v>
      </c>
      <c r="E16" s="33" t="s">
        <v>128</v>
      </c>
      <c r="F16" s="36" t="n">
        <f aca="false">COUNTA(INFORMES!C8:C19)</f>
        <v>4</v>
      </c>
    </row>
    <row r="17" customFormat="false" ht="15" hidden="false" customHeight="false" outlineLevel="0" collapsed="false">
      <c r="B17" s="33" t="s">
        <v>129</v>
      </c>
      <c r="C17" s="35" t="n">
        <f aca="false">SUMIF(NOTAS!$D$8:$D$67,B17,NOTAS!$G$8:$G$67)</f>
        <v>0</v>
      </c>
      <c r="E17" s="32" t="s">
        <v>130</v>
      </c>
    </row>
    <row r="18" customFormat="false" ht="15" hidden="false" customHeight="false" outlineLevel="0" collapsed="false">
      <c r="B18" s="33" t="s">
        <v>131</v>
      </c>
      <c r="C18" s="35" t="n">
        <f aca="false">SUMIF(NOTAS!$D$8:$D$67,B18,NOTAS!$G$8:$G$67)</f>
        <v>0</v>
      </c>
      <c r="E18" s="22" t="s">
        <v>132</v>
      </c>
      <c r="F18" s="22" t="s">
        <v>73</v>
      </c>
    </row>
    <row r="19" customFormat="false" ht="15" hidden="false" customHeight="false" outlineLevel="0" collapsed="false">
      <c r="B19" s="33" t="s">
        <v>133</v>
      </c>
      <c r="C19" s="35" t="n">
        <f aca="false">SUMIF(NOTAS!$D$8:$D$67,B19,NOTAS!$G$8:$G$67)</f>
        <v>0</v>
      </c>
      <c r="E19" s="33" t="s">
        <v>104</v>
      </c>
      <c r="F19" s="35" t="n">
        <f aca="false">SUMIF(DEDUCOES!$C$8:$C$47,E19,DEDUCOES!$G$8:$G$47)</f>
        <v>950</v>
      </c>
    </row>
    <row r="20" customFormat="false" ht="15" hidden="false" customHeight="false" outlineLevel="0" collapsed="false">
      <c r="B20" s="27" t="s">
        <v>134</v>
      </c>
      <c r="C20" s="28" t="n">
        <f aca="false">SUM(C13:C19)</f>
        <v>23450</v>
      </c>
      <c r="E20" s="33" t="s">
        <v>108</v>
      </c>
      <c r="F20" s="35" t="n">
        <f aca="false">SUMIF(DEDUCOES!$C$8:$C$47,E20,DEDUCOES!$G$8:$G$47)</f>
        <v>980</v>
      </c>
    </row>
    <row r="21" customFormat="false" ht="15" hidden="false" customHeight="false" outlineLevel="0" collapsed="false">
      <c r="B21" s="27" t="s">
        <v>83</v>
      </c>
      <c r="C21" s="28" t="n">
        <f aca="false">NOTAS!H68</f>
        <v>1135.8</v>
      </c>
      <c r="E21" s="33" t="s">
        <v>113</v>
      </c>
      <c r="F21" s="35" t="n">
        <f aca="false">SUMIF(DEDUCOES!$C$8:$C$47,E21,DEDUCOES!$G$8:$G$47)</f>
        <v>400</v>
      </c>
    </row>
    <row r="22" customFormat="false" ht="15" hidden="false" customHeight="false" outlineLevel="0" collapsed="false">
      <c r="E22" s="33" t="s">
        <v>135</v>
      </c>
      <c r="F22" s="35" t="n">
        <f aca="false">SUMIF(DEDUCOES!$C$8:$C$47,E22,DEDUCOES!$G$8:$G$47)</f>
        <v>0</v>
      </c>
    </row>
    <row r="23" customFormat="false" ht="15" hidden="false" customHeight="false" outlineLevel="0" collapsed="false">
      <c r="B23" s="32" t="s">
        <v>136</v>
      </c>
      <c r="E23" s="33" t="s">
        <v>137</v>
      </c>
      <c r="F23" s="35" t="n">
        <f aca="false">SUMIF(DEDUCOES!$C$8:$C$47,E23,DEDUCOES!$G$8:$G$47)</f>
        <v>0</v>
      </c>
    </row>
    <row r="24" customFormat="false" ht="15" hidden="false" customHeight="false" outlineLevel="0" collapsed="false">
      <c r="B24" s="33" t="s">
        <v>138</v>
      </c>
      <c r="C24" s="36" t="n">
        <f aca="false">COUNTBLANK(TITULAR!D7:D22)</f>
        <v>0</v>
      </c>
      <c r="D24" s="37" t="str">
        <f aca="false">IF(C24=0,"✔ OK","⚠ Resolver")</f>
        <v>✔ OK</v>
      </c>
      <c r="E24" s="33" t="s">
        <v>139</v>
      </c>
      <c r="F24" s="35" t="n">
        <f aca="false">SUMIF(DEDUCOES!$C$8:$C$47,E24,DEDUCOES!$G$8:$G$47)</f>
        <v>0</v>
      </c>
    </row>
    <row r="25" customFormat="false" ht="15" hidden="false" customHeight="false" outlineLevel="0" collapsed="false">
      <c r="B25" s="33" t="s">
        <v>140</v>
      </c>
      <c r="C25" s="36" t="n">
        <f aca="false">COUNTIF(INFORMES!H8:H19,"NÃO")</f>
        <v>1</v>
      </c>
      <c r="D25" s="37" t="str">
        <f aca="false">IF(C25=0,"✔ OK","⚠ Resolver")</f>
        <v>⚠ Resolver</v>
      </c>
      <c r="E25" s="27" t="s">
        <v>141</v>
      </c>
      <c r="F25" s="28" t="n">
        <f aca="false">SUM(F19:F24)</f>
        <v>2330</v>
      </c>
    </row>
    <row r="26" customFormat="false" ht="15" hidden="false" customHeight="false" outlineLevel="0" collapsed="false">
      <c r="B26" s="33" t="s">
        <v>142</v>
      </c>
      <c r="C26" s="36" t="n">
        <f aca="false">COUNTIF(DEDUCOES!H8:H47,"NÃO")</f>
        <v>1</v>
      </c>
      <c r="D26" s="37" t="str">
        <f aca="false">IF(C26=0,"✔ OK","⚠ Resolver")</f>
        <v>⚠ Resolver</v>
      </c>
    </row>
    <row r="29" customFormat="false" ht="15" hidden="false" customHeight="false" outlineLevel="0" collapsed="false">
      <c r="B29" s="32" t="s">
        <v>143</v>
      </c>
    </row>
    <row r="30" customFormat="false" ht="30" hidden="false" customHeight="true" outlineLevel="0" collapsed="false">
      <c r="B30" s="22" t="s">
        <v>78</v>
      </c>
      <c r="C30" s="22" t="s">
        <v>82</v>
      </c>
    </row>
    <row r="31" customFormat="false" ht="15" hidden="false" customHeight="false" outlineLevel="0" collapsed="false">
      <c r="B31" s="33" t="s">
        <v>144</v>
      </c>
      <c r="C31" s="35" t="n">
        <f aca="false">SUMPRODUCT((MONTH(NOTAS!$B$8:$B$67)=1)*(NOTAS!$B$8:$B$67&lt;&gt;"")*NOTAS!$G$8:$G$67)</f>
        <v>3500</v>
      </c>
    </row>
    <row r="32" customFormat="false" ht="15" hidden="false" customHeight="false" outlineLevel="0" collapsed="false">
      <c r="B32" s="33" t="s">
        <v>145</v>
      </c>
      <c r="C32" s="35" t="n">
        <f aca="false">SUMPRODUCT((MONTH(NOTAS!$B$8:$B$67)=2)*(NOTAS!$B$8:$B$67&lt;&gt;"")*NOTAS!$G$8:$G$67)</f>
        <v>4300</v>
      </c>
    </row>
    <row r="33" customFormat="false" ht="15" hidden="false" customHeight="false" outlineLevel="0" collapsed="false">
      <c r="B33" s="33" t="s">
        <v>146</v>
      </c>
      <c r="C33" s="35" t="n">
        <f aca="false">SUMPRODUCT((MONTH(NOTAS!$B$8:$B$67)=3)*(NOTAS!$B$8:$B$67&lt;&gt;"")*NOTAS!$G$8:$G$67)</f>
        <v>3500</v>
      </c>
    </row>
    <row r="34" customFormat="false" ht="15" hidden="false" customHeight="false" outlineLevel="0" collapsed="false">
      <c r="B34" s="33" t="s">
        <v>147</v>
      </c>
      <c r="C34" s="35" t="n">
        <f aca="false">SUMPRODUCT((MONTH(NOTAS!$B$8:$B$67)=4)*(NOTAS!$B$8:$B$67&lt;&gt;"")*NOTAS!$G$8:$G$67)</f>
        <v>4850</v>
      </c>
    </row>
    <row r="35" customFormat="false" ht="15" hidden="false" customHeight="false" outlineLevel="0" collapsed="false">
      <c r="B35" s="33" t="s">
        <v>148</v>
      </c>
      <c r="C35" s="35" t="n">
        <f aca="false">SUMPRODUCT((MONTH(NOTAS!$B$8:$B$67)=5)*(NOTAS!$B$8:$B$67&lt;&gt;"")*NOTAS!$G$8:$G$67)</f>
        <v>3650</v>
      </c>
    </row>
    <row r="36" customFormat="false" ht="15" hidden="false" customHeight="false" outlineLevel="0" collapsed="false">
      <c r="B36" s="33" t="s">
        <v>149</v>
      </c>
      <c r="C36" s="35" t="n">
        <f aca="false">SUMPRODUCT((MONTH(NOTAS!$B$8:$B$67)=6)*(NOTAS!$B$8:$B$67&lt;&gt;"")*NOTAS!$G$8:$G$67)</f>
        <v>3650</v>
      </c>
    </row>
    <row r="37" customFormat="false" ht="15" hidden="false" customHeight="false" outlineLevel="0" collapsed="false">
      <c r="B37" s="33" t="s">
        <v>150</v>
      </c>
      <c r="C37" s="35" t="n">
        <f aca="false">SUMPRODUCT((MONTH(NOTAS!$B$8:$B$67)=7)*(NOTAS!$B$8:$B$67&lt;&gt;"")*NOTAS!$G$8:$G$67)</f>
        <v>0</v>
      </c>
    </row>
    <row r="38" customFormat="false" ht="15" hidden="false" customHeight="false" outlineLevel="0" collapsed="false">
      <c r="B38" s="33" t="s">
        <v>151</v>
      </c>
      <c r="C38" s="35" t="n">
        <f aca="false">SUMPRODUCT((MONTH(NOTAS!$B$8:$B$67)=8)*(NOTAS!$B$8:$B$67&lt;&gt;"")*NOTAS!$G$8:$G$67)</f>
        <v>0</v>
      </c>
    </row>
    <row r="39" customFormat="false" ht="15" hidden="false" customHeight="false" outlineLevel="0" collapsed="false">
      <c r="B39" s="33" t="s">
        <v>152</v>
      </c>
      <c r="C39" s="35" t="n">
        <f aca="false">SUMPRODUCT((MONTH(NOTAS!$B$8:$B$67)=9)*(NOTAS!$B$8:$B$67&lt;&gt;"")*NOTAS!$G$8:$G$67)</f>
        <v>0</v>
      </c>
    </row>
    <row r="40" customFormat="false" ht="15" hidden="false" customHeight="false" outlineLevel="0" collapsed="false">
      <c r="B40" s="33" t="s">
        <v>153</v>
      </c>
      <c r="C40" s="35" t="n">
        <f aca="false">SUMPRODUCT((MONTH(NOTAS!$B$8:$B$67)=10)*(NOTAS!$B$8:$B$67&lt;&gt;"")*NOTAS!$G$8:$G$67)</f>
        <v>0</v>
      </c>
    </row>
    <row r="41" customFormat="false" ht="15" hidden="false" customHeight="false" outlineLevel="0" collapsed="false">
      <c r="B41" s="33" t="s">
        <v>154</v>
      </c>
      <c r="C41" s="35" t="n">
        <f aca="false">SUMPRODUCT((MONTH(NOTAS!$B$8:$B$67)=11)*(NOTAS!$B$8:$B$67&lt;&gt;"")*NOTAS!$G$8:$G$67)</f>
        <v>0</v>
      </c>
    </row>
    <row r="42" customFormat="false" ht="15" hidden="false" customHeight="false" outlineLevel="0" collapsed="false">
      <c r="B42" s="33" t="s">
        <v>155</v>
      </c>
      <c r="C42" s="35" t="n">
        <f aca="false">SUMPRODUCT((MONTH(NOTAS!$B$8:$B$67)=12)*(NOTAS!$B$8:$B$67&lt;&gt;"")*NOTAS!$G$8:$G$67)</f>
        <v>0</v>
      </c>
    </row>
  </sheetData>
  <mergeCells count="2">
    <mergeCell ref="B2:H2"/>
    <mergeCell ref="B3:H3"/>
  </mergeCells>
  <conditionalFormatting sqref="C24">
    <cfRule type="cellIs" priority="2" operator="greater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conditionalFormatting sqref="C25">
    <cfRule type="cellIs" priority="4" operator="greaterThan" aboveAverage="0" equalAverage="0" bottom="0" percent="0" rank="0" text="" dxfId="0">
      <formula>0</formula>
    </cfRule>
    <cfRule type="cellIs" priority="5" operator="equal" aboveAverage="0" equalAverage="0" bottom="0" percent="0" rank="0" text="" dxfId="1">
      <formula>0</formula>
    </cfRule>
  </conditionalFormatting>
  <conditionalFormatting sqref="C26">
    <cfRule type="cellIs" priority="6" operator="greaterThan" aboveAverage="0" equalAverage="0" bottom="0" percent="0" rank="0" text="" dxfId="0">
      <formula>0</formula>
    </cfRule>
    <cfRule type="cellIs" priority="7" operator="equal" aboveAverage="0" equalAverage="0" bottom="0" percent="0" rank="0" text="" dxfId="1">
      <formula>0</formula>
    </cfRule>
  </conditionalFormatting>
  <hyperlinks>
    <hyperlink ref="B5" location="'MENU'!A1" display="◀ 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26"/>
  </cols>
  <sheetData>
    <row r="1" customFormat="false" ht="15" hidden="false" customHeight="false" outlineLevel="0" collapsed="false">
      <c r="A1" s="38" t="s">
        <v>123</v>
      </c>
      <c r="B1" s="38" t="s">
        <v>58</v>
      </c>
      <c r="C1" s="38" t="s">
        <v>156</v>
      </c>
      <c r="D1" s="38" t="s">
        <v>97</v>
      </c>
      <c r="E1" s="38" t="s">
        <v>98</v>
      </c>
      <c r="F1" s="38" t="s">
        <v>157</v>
      </c>
      <c r="G1" s="38" t="s">
        <v>38</v>
      </c>
    </row>
    <row r="2" customFormat="false" ht="15" hidden="false" customHeight="false" outlineLevel="0" collapsed="false">
      <c r="A2" s="39" t="s">
        <v>158</v>
      </c>
      <c r="B2" s="39" t="s">
        <v>65</v>
      </c>
      <c r="C2" s="39" t="s">
        <v>85</v>
      </c>
      <c r="D2" s="39" t="s">
        <v>104</v>
      </c>
      <c r="E2" s="39" t="s">
        <v>105</v>
      </c>
      <c r="F2" s="39" t="s">
        <v>66</v>
      </c>
      <c r="G2" s="39" t="s">
        <v>159</v>
      </c>
    </row>
    <row r="3" customFormat="false" ht="15" hidden="false" customHeight="false" outlineLevel="0" collapsed="false">
      <c r="A3" s="39" t="s">
        <v>160</v>
      </c>
      <c r="B3" s="39" t="s">
        <v>70</v>
      </c>
      <c r="C3" s="39" t="s">
        <v>125</v>
      </c>
      <c r="D3" s="39" t="s">
        <v>108</v>
      </c>
      <c r="E3" s="39" t="s">
        <v>109</v>
      </c>
      <c r="F3" s="39" t="s">
        <v>46</v>
      </c>
      <c r="G3" s="39" t="s">
        <v>161</v>
      </c>
    </row>
    <row r="4" customFormat="false" ht="15" hidden="false" customHeight="false" outlineLevel="0" collapsed="false">
      <c r="A4" s="39" t="s">
        <v>69</v>
      </c>
      <c r="B4" s="39" t="s">
        <v>68</v>
      </c>
      <c r="C4" s="39" t="s">
        <v>88</v>
      </c>
      <c r="D4" s="39" t="s">
        <v>113</v>
      </c>
      <c r="E4" s="39" t="s">
        <v>162</v>
      </c>
      <c r="G4" s="39" t="s">
        <v>163</v>
      </c>
    </row>
    <row r="5" customFormat="false" ht="15" hidden="false" customHeight="false" outlineLevel="0" collapsed="false">
      <c r="A5" s="39" t="s">
        <v>164</v>
      </c>
      <c r="B5" s="39" t="s">
        <v>165</v>
      </c>
      <c r="C5" s="39" t="s">
        <v>93</v>
      </c>
      <c r="D5" s="39" t="s">
        <v>135</v>
      </c>
      <c r="G5" s="39" t="s">
        <v>166</v>
      </c>
    </row>
    <row r="6" customFormat="false" ht="15" hidden="false" customHeight="false" outlineLevel="0" collapsed="false">
      <c r="A6" s="39" t="s">
        <v>167</v>
      </c>
      <c r="B6" s="39" t="s">
        <v>168</v>
      </c>
      <c r="C6" s="39" t="s">
        <v>129</v>
      </c>
      <c r="D6" s="39" t="s">
        <v>137</v>
      </c>
      <c r="G6" s="39" t="s">
        <v>169</v>
      </c>
    </row>
    <row r="7" customFormat="false" ht="15" hidden="false" customHeight="false" outlineLevel="0" collapsed="false">
      <c r="A7" s="39" t="s">
        <v>170</v>
      </c>
      <c r="C7" s="39" t="s">
        <v>131</v>
      </c>
      <c r="D7" s="39" t="s">
        <v>139</v>
      </c>
      <c r="G7" s="39" t="s">
        <v>171</v>
      </c>
    </row>
    <row r="8" customFormat="false" ht="15" hidden="false" customHeight="false" outlineLevel="0" collapsed="false">
      <c r="A8" s="39" t="s">
        <v>172</v>
      </c>
      <c r="C8" s="39" t="s">
        <v>133</v>
      </c>
      <c r="G8" s="39" t="s">
        <v>173</v>
      </c>
    </row>
    <row r="9" customFormat="false" ht="15" hidden="false" customHeight="false" outlineLevel="0" collapsed="false">
      <c r="A9" s="39" t="s">
        <v>174</v>
      </c>
      <c r="G9" s="39" t="s">
        <v>175</v>
      </c>
    </row>
    <row r="10" customFormat="false" ht="15" hidden="false" customHeight="false" outlineLevel="0" collapsed="false">
      <c r="A10" s="39" t="s">
        <v>176</v>
      </c>
      <c r="G10" s="39" t="s">
        <v>177</v>
      </c>
    </row>
    <row r="11" customFormat="false" ht="15" hidden="false" customHeight="false" outlineLevel="0" collapsed="false">
      <c r="A11" s="39" t="s">
        <v>178</v>
      </c>
      <c r="G11" s="39" t="s">
        <v>179</v>
      </c>
    </row>
    <row r="12" customFormat="false" ht="15" hidden="false" customHeight="false" outlineLevel="0" collapsed="false">
      <c r="A12" s="39" t="s">
        <v>180</v>
      </c>
      <c r="G12" s="39" t="s">
        <v>181</v>
      </c>
    </row>
    <row r="13" customFormat="false" ht="15" hidden="false" customHeight="false" outlineLevel="0" collapsed="false">
      <c r="A13" s="39" t="s">
        <v>182</v>
      </c>
      <c r="G13" s="39" t="s">
        <v>183</v>
      </c>
    </row>
    <row r="14" customFormat="false" ht="15" hidden="false" customHeight="false" outlineLevel="0" collapsed="false">
      <c r="A14" s="39" t="s">
        <v>184</v>
      </c>
      <c r="G14" s="39" t="s">
        <v>185</v>
      </c>
    </row>
    <row r="15" customFormat="false" ht="15" hidden="false" customHeight="false" outlineLevel="0" collapsed="false">
      <c r="A15" s="39" t="s">
        <v>186</v>
      </c>
      <c r="G15" s="39" t="s">
        <v>187</v>
      </c>
    </row>
    <row r="16" customFormat="false" ht="15" hidden="false" customHeight="false" outlineLevel="0" collapsed="false">
      <c r="A16" s="39" t="s">
        <v>64</v>
      </c>
      <c r="G16" s="39" t="s">
        <v>188</v>
      </c>
    </row>
    <row r="17" customFormat="false" ht="15" hidden="false" customHeight="false" outlineLevel="0" collapsed="false">
      <c r="A17" s="39" t="s">
        <v>189</v>
      </c>
      <c r="G17" s="39" t="s">
        <v>190</v>
      </c>
    </row>
    <row r="18" customFormat="false" ht="15" hidden="false" customHeight="false" outlineLevel="0" collapsed="false">
      <c r="A18" s="39" t="s">
        <v>191</v>
      </c>
      <c r="G18" s="39" t="s">
        <v>192</v>
      </c>
    </row>
    <row r="19" customFormat="false" ht="15" hidden="false" customHeight="false" outlineLevel="0" collapsed="false">
      <c r="A19" s="39" t="s">
        <v>193</v>
      </c>
      <c r="G19" s="39" t="s">
        <v>194</v>
      </c>
    </row>
    <row r="20" customFormat="false" ht="15" hidden="false" customHeight="false" outlineLevel="0" collapsed="false">
      <c r="A20" s="39" t="s">
        <v>195</v>
      </c>
      <c r="G20" s="39" t="s">
        <v>196</v>
      </c>
    </row>
    <row r="21" customFormat="false" ht="15" hidden="false" customHeight="false" outlineLevel="0" collapsed="false">
      <c r="A21" s="39" t="s">
        <v>197</v>
      </c>
      <c r="G21" s="39" t="s">
        <v>198</v>
      </c>
    </row>
    <row r="22" customFormat="false" ht="15" hidden="false" customHeight="false" outlineLevel="0" collapsed="false">
      <c r="A22" s="39" t="s">
        <v>199</v>
      </c>
      <c r="G22" s="39" t="s">
        <v>200</v>
      </c>
    </row>
    <row r="23" customFormat="false" ht="15" hidden="false" customHeight="false" outlineLevel="0" collapsed="false">
      <c r="A23" s="39" t="s">
        <v>201</v>
      </c>
      <c r="G23" s="39" t="s">
        <v>202</v>
      </c>
    </row>
    <row r="24" customFormat="false" ht="15" hidden="false" customHeight="false" outlineLevel="0" collapsed="false">
      <c r="A24" s="39" t="s">
        <v>203</v>
      </c>
      <c r="G24" s="39" t="s">
        <v>204</v>
      </c>
    </row>
    <row r="25" customFormat="false" ht="15" hidden="false" customHeight="false" outlineLevel="0" collapsed="false">
      <c r="A25" s="39" t="s">
        <v>205</v>
      </c>
      <c r="G25" s="39" t="s">
        <v>206</v>
      </c>
    </row>
    <row r="26" customFormat="false" ht="15" hidden="false" customHeight="false" outlineLevel="0" collapsed="false">
      <c r="A26" s="39" t="s">
        <v>207</v>
      </c>
      <c r="G26" s="39" t="s">
        <v>39</v>
      </c>
    </row>
    <row r="27" customFormat="false" ht="15" hidden="false" customHeight="false" outlineLevel="0" collapsed="false">
      <c r="A27" s="39" t="s">
        <v>208</v>
      </c>
      <c r="G27" s="39" t="s">
        <v>209</v>
      </c>
    </row>
    <row r="28" customFormat="false" ht="15" hidden="false" customHeight="false" outlineLevel="0" collapsed="false">
      <c r="A28" s="39" t="s">
        <v>210</v>
      </c>
      <c r="G28" s="39" t="s">
        <v>211</v>
      </c>
    </row>
    <row r="29" customFormat="false" ht="15" hidden="false" customHeight="false" outlineLevel="0" collapsed="false">
      <c r="A29" s="39" t="s">
        <v>212</v>
      </c>
    </row>
    <row r="30" customFormat="false" ht="15" hidden="false" customHeight="false" outlineLevel="0" collapsed="false">
      <c r="A30" s="39" t="s">
        <v>213</v>
      </c>
    </row>
    <row r="31" customFormat="false" ht="15" hidden="false" customHeight="false" outlineLevel="0" collapsed="false">
      <c r="A31" s="39" t="s">
        <v>214</v>
      </c>
    </row>
    <row r="32" customFormat="false" ht="15" hidden="false" customHeight="false" outlineLevel="0" collapsed="false">
      <c r="A32" s="39" t="s">
        <v>215</v>
      </c>
    </row>
    <row r="33" customFormat="false" ht="15" hidden="false" customHeight="false" outlineLevel="0" collapsed="false">
      <c r="A33" s="39" t="s">
        <v>216</v>
      </c>
    </row>
    <row r="34" customFormat="false" ht="15" hidden="false" customHeight="false" outlineLevel="0" collapsed="false">
      <c r="A34" s="39" t="s">
        <v>217</v>
      </c>
    </row>
    <row r="35" customFormat="false" ht="15" hidden="false" customHeight="false" outlineLevel="0" collapsed="false">
      <c r="A35" s="39" t="s">
        <v>218</v>
      </c>
    </row>
    <row r="36" customFormat="false" ht="15" hidden="false" customHeight="false" outlineLevel="0" collapsed="false">
      <c r="A36" s="39" t="s">
        <v>219</v>
      </c>
    </row>
    <row r="37" customFormat="false" ht="15" hidden="false" customHeight="false" outlineLevel="0" collapsed="false">
      <c r="A37" s="39" t="s">
        <v>220</v>
      </c>
    </row>
    <row r="38" customFormat="false" ht="15" hidden="false" customHeight="false" outlineLevel="0" collapsed="false">
      <c r="A38" s="39" t="s">
        <v>221</v>
      </c>
    </row>
    <row r="39" customFormat="false" ht="15" hidden="false" customHeight="false" outlineLevel="0" collapsed="false">
      <c r="A39" s="39" t="s">
        <v>222</v>
      </c>
    </row>
    <row r="40" customFormat="false" ht="15" hidden="false" customHeight="false" outlineLevel="0" collapsed="false">
      <c r="A40" s="39" t="s">
        <v>223</v>
      </c>
    </row>
    <row r="41" customFormat="false" ht="15" hidden="false" customHeight="false" outlineLevel="0" collapsed="false">
      <c r="A41" s="39" t="s">
        <v>224</v>
      </c>
    </row>
    <row r="42" customFormat="false" ht="15" hidden="false" customHeight="false" outlineLevel="0" collapsed="false">
      <c r="A42" s="39" t="s">
        <v>225</v>
      </c>
    </row>
    <row r="43" customFormat="false" ht="15" hidden="false" customHeight="false" outlineLevel="0" collapsed="false">
      <c r="A43" s="39" t="s">
        <v>226</v>
      </c>
    </row>
    <row r="44" customFormat="false" ht="15" hidden="false" customHeight="false" outlineLevel="0" collapsed="false">
      <c r="A44" s="39" t="s">
        <v>227</v>
      </c>
    </row>
    <row r="45" customFormat="false" ht="15" hidden="false" customHeight="false" outlineLevel="0" collapsed="false">
      <c r="A45" s="39" t="s">
        <v>228</v>
      </c>
    </row>
    <row r="46" customFormat="false" ht="15" hidden="false" customHeight="false" outlineLevel="0" collapsed="false">
      <c r="A46" s="39" t="s">
        <v>229</v>
      </c>
    </row>
    <row r="47" customFormat="false" ht="15" hidden="false" customHeight="false" outlineLevel="0" collapsed="false">
      <c r="A47" s="39" t="s">
        <v>230</v>
      </c>
    </row>
    <row r="48" customFormat="false" ht="15" hidden="false" customHeight="false" outlineLevel="0" collapsed="false">
      <c r="A48" s="39" t="s">
        <v>231</v>
      </c>
    </row>
    <row r="49" customFormat="false" ht="15" hidden="false" customHeight="false" outlineLevel="0" collapsed="false">
      <c r="A49" s="39" t="s">
        <v>71</v>
      </c>
    </row>
    <row r="50" customFormat="false" ht="15" hidden="false" customHeight="false" outlineLevel="0" collapsed="false">
      <c r="A50" s="39" t="s">
        <v>232</v>
      </c>
    </row>
    <row r="51" customFormat="false" ht="15" hidden="false" customHeight="false" outlineLevel="0" collapsed="false">
      <c r="A51" s="39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2026-10-13T00:25:40Z</dcterms:created>
  <dc:creator>openpyxl</dc:creator>
  <dc:description/>
  <dc:language>en-US</dc:language>
  <cp:lastModifiedBy/>
  <dcterms:modified xsi:type="dcterms:W3CDTF">2026-10-12T21:25:41Z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